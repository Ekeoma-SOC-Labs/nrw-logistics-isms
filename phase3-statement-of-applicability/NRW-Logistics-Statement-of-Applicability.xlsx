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ment of Applicability" sheetId="1" state="visible" r:id="rId3"/>
    <sheet name="Summary Dashboard" sheetId="2" state="visible" r:id="rId4"/>
    <sheet name="Methodology &amp;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Yes = control selected as applicable based on risk assessment. No = excluded, with justification required by Clause 6.1.3(d).</t>
        </r>
      </text>
    </comment>
    <comment ref="E4" authorId="0">
      <text>
        <r>
          <rPr>
            <sz val="10"/>
            <rFont val="Arial"/>
            <family val="2"/>
          </rPr>
          <t xml:space="preserve">Must explain WHY the control is or isn't applicable, tracing back to the risk assessment or a genuine absence of the underlying activity (e.g. no in-house development).</t>
        </r>
      </text>
    </comment>
  </commentList>
</comments>
</file>

<file path=xl/sharedStrings.xml><?xml version="1.0" encoding="utf-8"?>
<sst xmlns="http://schemas.openxmlformats.org/spreadsheetml/2006/main" count="725" uniqueCount="345">
  <si>
    <t xml:space="preserve">NRW Logistics GmbH — Statement of Applicability</t>
  </si>
  <si>
    <t xml:space="preserve">ISO/IEC 27001:2022 Clause 6.1.3(d) — All 93 Annex A controls (ISO/IEC 27002:2022). See 'Methodology &amp; Notes' and 'Summary Dashboard' tabs.</t>
  </si>
  <si>
    <t xml:space="preserve">Control ID</t>
  </si>
  <si>
    <t xml:space="preserve">Control Title</t>
  </si>
  <si>
    <t xml:space="preserve">Theme</t>
  </si>
  <si>
    <t xml:space="preserve">Applicable</t>
  </si>
  <si>
    <t xml:space="preserve">Justification</t>
  </si>
  <si>
    <t xml:space="preserve">Implementation Status</t>
  </si>
  <si>
    <t xml:space="preserve">Related Risk ID(s)</t>
  </si>
  <si>
    <t xml:space="preserve">Control Owner</t>
  </si>
  <si>
    <t xml:space="preserve">5.1</t>
  </si>
  <si>
    <t xml:space="preserve">Policies for information security</t>
  </si>
  <si>
    <t xml:space="preserve">Organizational</t>
  </si>
  <si>
    <t xml:space="preserve">Yes</t>
  </si>
  <si>
    <t xml:space="preserve">Foundational control; formal policy set defined in Phase 4 of this project.</t>
  </si>
  <si>
    <t xml:space="preserve">Planned</t>
  </si>
  <si>
    <t xml:space="preserve">Management</t>
  </si>
  <si>
    <t xml:space="preserve">5.2</t>
  </si>
  <si>
    <t xml:space="preserve">Information security roles and responsibilities</t>
  </si>
  <si>
    <t xml:space="preserve">Roles exist informally today; to be formalized as the ISMS owner (IT Manager) and management representative.</t>
  </si>
  <si>
    <t xml:space="preserve">5.3</t>
  </si>
  <si>
    <t xml:space="preserve">Segregation of duties</t>
  </si>
  <si>
    <t xml:space="preserve">Addresses insider misuse risk in the WMS order/dispatch workflow.</t>
  </si>
  <si>
    <t xml:space="preserve">R-006</t>
  </si>
  <si>
    <t xml:space="preserve">Warehouse Ops Lead</t>
  </si>
  <si>
    <t xml:space="preserve">5.4</t>
  </si>
  <si>
    <t xml:space="preserve">Management responsibilities</t>
  </si>
  <si>
    <t xml:space="preserve">Required to demonstrate leadership commitment per Clause 5.</t>
  </si>
  <si>
    <t xml:space="preserve">5.5</t>
  </si>
  <si>
    <t xml:space="preserve">Contact with authorities</t>
  </si>
  <si>
    <t xml:space="preserve">Needed for GDPR breach notification to the German data protection authority and law enforcement liaison.</t>
  </si>
  <si>
    <t xml:space="preserve">5.6</t>
  </si>
  <si>
    <t xml:space="preserve">Contact with special interest groups</t>
  </si>
  <si>
    <t xml:space="preserve">IT Manager to maintain threat-intelligence contacts (e.g. BSI, sector groups) for early warning of emerging threats.</t>
  </si>
  <si>
    <t xml:space="preserve">IT Manager</t>
  </si>
  <si>
    <t xml:space="preserve">5.7</t>
  </si>
  <si>
    <t xml:space="preserve">Threat intelligence</t>
  </si>
  <si>
    <t xml:space="preserve">Supports proactive identification of phishing campaigns and ransomware trends relevant to the sector.</t>
  </si>
  <si>
    <t xml:space="preserve">R-001, R-002</t>
  </si>
  <si>
    <t xml:space="preserve">5.8</t>
  </si>
  <si>
    <t xml:space="preserve">Information security in project management</t>
  </si>
  <si>
    <t xml:space="preserve">Applies to future IT projects (e.g. WMS upgrades) to ensure security is designed in, not retrofitted.</t>
  </si>
  <si>
    <t xml:space="preserve">5.9</t>
  </si>
  <si>
    <t xml:space="preserve">Inventory of information and other associated assets</t>
  </si>
  <si>
    <t xml:space="preserve">Foundational to risk assessment; asset values in the risk register depend on an accurate inventory.</t>
  </si>
  <si>
    <t xml:space="preserve">5.10</t>
  </si>
  <si>
    <t xml:space="preserve">Acceptable use of information and other associated assets</t>
  </si>
  <si>
    <t xml:space="preserve">Formalized in the Acceptable Use Policy produced in Phase 4.</t>
  </si>
  <si>
    <t xml:space="preserve">5.11</t>
  </si>
  <si>
    <t xml:space="preserve">Return of assets</t>
  </si>
  <si>
    <t xml:space="preserve">Relevant to device loss exposure and standard offboarding process.</t>
  </si>
  <si>
    <t xml:space="preserve">R-005</t>
  </si>
  <si>
    <t xml:space="preserve">5.12</t>
  </si>
  <si>
    <t xml:space="preserve">Classification of information</t>
  </si>
  <si>
    <t xml:space="preserve">Customer shipment data and financial data require differentiated handling; classification scheme to be introduced.</t>
  </si>
  <si>
    <t xml:space="preserve">5.13</t>
  </si>
  <si>
    <t xml:space="preserve">Labelling of information</t>
  </si>
  <si>
    <t xml:space="preserve">Supports the classification scheme once introduced; maturity is currently low.</t>
  </si>
  <si>
    <t xml:space="preserve">5.14</t>
  </si>
  <si>
    <t xml:space="preserve">Information transfer</t>
  </si>
  <si>
    <t xml:space="preserve">Governs data exchange with the customs broker API and customer communications.</t>
  </si>
  <si>
    <t xml:space="preserve">R-008</t>
  </si>
  <si>
    <t xml:space="preserve">5.15</t>
  </si>
  <si>
    <t xml:space="preserve">Access control</t>
  </si>
  <si>
    <t xml:space="preserve">Core control addressing ERP access governance and admin account security.</t>
  </si>
  <si>
    <t xml:space="preserve">Partial</t>
  </si>
  <si>
    <t xml:space="preserve">R-004, R-010</t>
  </si>
  <si>
    <t xml:space="preserve">5.16</t>
  </si>
  <si>
    <t xml:space="preserve">Identity management</t>
  </si>
  <si>
    <t xml:space="preserve">Single identity source (Active Directory) exists; lifecycle process needs formalization.</t>
  </si>
  <si>
    <t xml:space="preserve">5.17</t>
  </si>
  <si>
    <t xml:space="preserve">Authentication information</t>
  </si>
  <si>
    <t xml:space="preserve">Directly addresses the weak password policy risk.</t>
  </si>
  <si>
    <t xml:space="preserve">R-010</t>
  </si>
  <si>
    <t xml:space="preserve">5.18</t>
  </si>
  <si>
    <t xml:space="preserve">Access rights</t>
  </si>
  <si>
    <t xml:space="preserve">Addresses the lack of periodic access review in the cloud ERP.</t>
  </si>
  <si>
    <t xml:space="preserve">R-004</t>
  </si>
  <si>
    <t xml:space="preserve">5.19</t>
  </si>
  <si>
    <t xml:space="preserve">Information security in supplier relationships</t>
  </si>
  <si>
    <t xml:space="preserve">Covers the Azure, telematics vendor, and customs broker relationships.</t>
  </si>
  <si>
    <t xml:space="preserve">R-003, R-004, R-008</t>
  </si>
  <si>
    <t xml:space="preserve">5.20</t>
  </si>
  <si>
    <t xml:space="preserve">Addressing information security within supplier agreements</t>
  </si>
  <si>
    <t xml:space="preserve">Security clauses to be incorporated into vendor contracts at renewal.</t>
  </si>
  <si>
    <t xml:space="preserve">5.21</t>
  </si>
  <si>
    <t xml:space="preserve">Managing information security in the ICT supply chain</t>
  </si>
  <si>
    <t xml:space="preserve">Relevant to telematics and ERP vendor dependency.</t>
  </si>
  <si>
    <t xml:space="preserve">R-003</t>
  </si>
  <si>
    <t xml:space="preserve">5.22</t>
  </si>
  <si>
    <t xml:space="preserve">Monitoring, review and change management of supplier services</t>
  </si>
  <si>
    <t xml:space="preserve">Addresses irregular vendor patch cadence identified in the risk register.</t>
  </si>
  <si>
    <t xml:space="preserve">5.23</t>
  </si>
  <si>
    <t xml:space="preserve">Information security for use of cloud services</t>
  </si>
  <si>
    <t xml:space="preserve">Directly addresses cloud ERP misconfiguration and DDoS exposure.</t>
  </si>
  <si>
    <t xml:space="preserve">R-004, R-007</t>
  </si>
  <si>
    <t xml:space="preserve">5.24</t>
  </si>
  <si>
    <t xml:space="preserve">Information security incident management planning and preparation</t>
  </si>
  <si>
    <t xml:space="preserve">No formal incident response plan exists today; required for all identified threat scenarios.</t>
  </si>
  <si>
    <t xml:space="preserve">5.25</t>
  </si>
  <si>
    <t xml:space="preserve">Assessment and decision on information security events</t>
  </si>
  <si>
    <t xml:space="preserve">Part of the incident management process to be documented.</t>
  </si>
  <si>
    <t xml:space="preserve">5.26</t>
  </si>
  <si>
    <t xml:space="preserve">Response to information security incidents</t>
  </si>
  <si>
    <t xml:space="preserve">Required to respond effectively to ransomware and phishing scenarios.</t>
  </si>
  <si>
    <t xml:space="preserve">R-001, R-002, R-009</t>
  </si>
  <si>
    <t xml:space="preserve">5.27</t>
  </si>
  <si>
    <t xml:space="preserve">Learning from information security incidents</t>
  </si>
  <si>
    <t xml:space="preserve">Post-incident review process to feed back into risk register updates.</t>
  </si>
  <si>
    <t xml:space="preserve">5.28</t>
  </si>
  <si>
    <t xml:space="preserve">Collection of evidence</t>
  </si>
  <si>
    <t xml:space="preserve">Needed to support incident investigation and potential legal or regulatory action.</t>
  </si>
  <si>
    <t xml:space="preserve">5.29</t>
  </si>
  <si>
    <t xml:space="preserve">Information security during disruption</t>
  </si>
  <si>
    <t xml:space="preserve">Directly relevant to the ransomware and backup failure scenario.</t>
  </si>
  <si>
    <t xml:space="preserve">R-009</t>
  </si>
  <si>
    <t xml:space="preserve">5.30</t>
  </si>
  <si>
    <t xml:space="preserve">ICT readiness for business continuity</t>
  </si>
  <si>
    <t xml:space="preserve">No tested DR/BC plan exists; addresses the backup restoration gap.</t>
  </si>
  <si>
    <t xml:space="preserve">R-002, R-009</t>
  </si>
  <si>
    <t xml:space="preserve">5.31</t>
  </si>
  <si>
    <t xml:space="preserve">Legal, statutory, regulatory and contractual requirements</t>
  </si>
  <si>
    <t xml:space="preserve">GDPR and customer contractual obligations directly shape ISMS scope (Clause 4.2).</t>
  </si>
  <si>
    <t xml:space="preserve">5.32</t>
  </si>
  <si>
    <t xml:space="preserve">Intellectual property rights</t>
  </si>
  <si>
    <t xml:space="preserve">Covers software licensing compliance for the WMS and ERP platforms.</t>
  </si>
  <si>
    <t xml:space="preserve">5.33</t>
  </si>
  <si>
    <t xml:space="preserve">Protection of records</t>
  </si>
  <si>
    <t xml:space="preserve">Applies to financial and shipment records retained in the ERP and WMS.</t>
  </si>
  <si>
    <t xml:space="preserve">5.34</t>
  </si>
  <si>
    <t xml:space="preserve">Privacy and protection of PII</t>
  </si>
  <si>
    <t xml:space="preserve">Customer and employee personal data is processed; a direct GDPR obligation.</t>
  </si>
  <si>
    <t xml:space="preserve">5.35</t>
  </si>
  <si>
    <t xml:space="preserve">Independent review of information security</t>
  </si>
  <si>
    <t xml:space="preserve">Required periodically once the ISMS is operational; not yet performed.</t>
  </si>
  <si>
    <t xml:space="preserve">Planned (Year 2)</t>
  </si>
  <si>
    <t xml:space="preserve">5.36</t>
  </si>
  <si>
    <t xml:space="preserve">Compliance with policies, rules and standards for information security</t>
  </si>
  <si>
    <t xml:space="preserve">Compliance monitoring to follow policy rollout in Phase 4.</t>
  </si>
  <si>
    <t xml:space="preserve">5.37</t>
  </si>
  <si>
    <t xml:space="preserve">Documented operating procedures</t>
  </si>
  <si>
    <t xml:space="preserve">Operational procedures for the WMS, backups, and incident response need documentation.</t>
  </si>
  <si>
    <t xml:space="preserve">6.1</t>
  </si>
  <si>
    <t xml:space="preserve">Screening</t>
  </si>
  <si>
    <t xml:space="preserve">People</t>
  </si>
  <si>
    <t xml:space="preserve">Background screening for new hires with access to financial or customer systems, within German labor law limits.</t>
  </si>
  <si>
    <t xml:space="preserve">6.2</t>
  </si>
  <si>
    <t xml:space="preserve">Terms and conditions of employment</t>
  </si>
  <si>
    <t xml:space="preserve">Security responsibilities to be embedded in employment contracts.</t>
  </si>
  <si>
    <t xml:space="preserve">6.3</t>
  </si>
  <si>
    <t xml:space="preserve">Information security awareness, education and training</t>
  </si>
  <si>
    <t xml:space="preserve">Directly addresses phishing susceptibility identified in the risk register.</t>
  </si>
  <si>
    <t xml:space="preserve">R-001</t>
  </si>
  <si>
    <t xml:space="preserve">6.4</t>
  </si>
  <si>
    <t xml:space="preserve">Disciplinary process</t>
  </si>
  <si>
    <t xml:space="preserve">Needed to enforce the Acceptable Use Policy consistently.</t>
  </si>
  <si>
    <t xml:space="preserve">6.5</t>
  </si>
  <si>
    <t xml:space="preserve">Responsibilities after termination or change of employment</t>
  </si>
  <si>
    <t xml:space="preserve">Ensures access revocation on offboarding, related to remote access exposure.</t>
  </si>
  <si>
    <t xml:space="preserve">R-011</t>
  </si>
  <si>
    <t xml:space="preserve">6.6</t>
  </si>
  <si>
    <t xml:space="preserve">Confidentiality or non-disclosure agreements</t>
  </si>
  <si>
    <t xml:space="preserve">Standard for employees and contractors handling customer shipment data.</t>
  </si>
  <si>
    <t xml:space="preserve">6.7</t>
  </si>
  <si>
    <t xml:space="preserve">Remote working</t>
  </si>
  <si>
    <t xml:space="preserve">Directly addresses the VPN multi-factor authentication gap.</t>
  </si>
  <si>
    <t xml:space="preserve">6.8</t>
  </si>
  <si>
    <t xml:space="preserve">Information security event reporting</t>
  </si>
  <si>
    <t xml:space="preserve">No clear reporting channel exists today for staff to report suspected incidents.</t>
  </si>
  <si>
    <t xml:space="preserve">7.1</t>
  </si>
  <si>
    <t xml:space="preserve">Physical security perimeters</t>
  </si>
  <si>
    <t xml:space="preserve">Physical</t>
  </si>
  <si>
    <t xml:space="preserve">HQ office and Witten warehouse both require defined physical perimeters.</t>
  </si>
  <si>
    <t xml:space="preserve">Implemented</t>
  </si>
  <si>
    <t xml:space="preserve">7.2</t>
  </si>
  <si>
    <t xml:space="preserve">Physical entry</t>
  </si>
  <si>
    <t xml:space="preserve">Badge and key access control at HQ and warehouse loading areas.</t>
  </si>
  <si>
    <t xml:space="preserve">7.3</t>
  </si>
  <si>
    <t xml:space="preserve">Securing offices, rooms and facilities</t>
  </si>
  <si>
    <t xml:space="preserve">Server room at HQ requires restricted access beyond general office entry.</t>
  </si>
  <si>
    <t xml:space="preserve">7.4</t>
  </si>
  <si>
    <t xml:space="preserve">Physical security monitoring</t>
  </si>
  <si>
    <t xml:space="preserve">CCTV present at the warehouse; coverage of the HQ server room to be reviewed.</t>
  </si>
  <si>
    <t xml:space="preserve">7.5</t>
  </si>
  <si>
    <t xml:space="preserve">Protecting against physical and environmental threats</t>
  </si>
  <si>
    <t xml:space="preserve">Applies to server room fire and flood protection.</t>
  </si>
  <si>
    <t xml:space="preserve">7.6</t>
  </si>
  <si>
    <t xml:space="preserve">Working in secure areas</t>
  </si>
  <si>
    <t xml:space="preserve">Applies to warehouse restricted zones and the server room.</t>
  </si>
  <si>
    <t xml:space="preserve">7.7</t>
  </si>
  <si>
    <t xml:space="preserve">Clear desk and clear screen</t>
  </si>
  <si>
    <t xml:space="preserve">Relevant given customer and financial data visible at HQ workstations.</t>
  </si>
  <si>
    <t xml:space="preserve">7.8</t>
  </si>
  <si>
    <t xml:space="preserve">Equipment siting and protection</t>
  </si>
  <si>
    <t xml:space="preserve">Server placement and warehouse handheld scanner protection.</t>
  </si>
  <si>
    <t xml:space="preserve">7.9</t>
  </si>
  <si>
    <t xml:space="preserve">Security of assets off-premises</t>
  </si>
  <si>
    <t xml:space="preserve">Directly addresses laptop loss and theft risk, and fleet driver handheld devices.</t>
  </si>
  <si>
    <t xml:space="preserve">7.10</t>
  </si>
  <si>
    <t xml:space="preserve">Storage media</t>
  </si>
  <si>
    <t xml:space="preserve">Backup media handling is directly relevant to the backup failure risk.</t>
  </si>
  <si>
    <t xml:space="preserve">7.11</t>
  </si>
  <si>
    <t xml:space="preserve">Supporting utilities</t>
  </si>
  <si>
    <t xml:space="preserve">Power and connectivity resilience for the warehouse WMS server.</t>
  </si>
  <si>
    <t xml:space="preserve">7.12</t>
  </si>
  <si>
    <t xml:space="preserve">Cabling security</t>
  </si>
  <si>
    <t xml:space="preserve">Standard control for HQ and warehouse network cabling.</t>
  </si>
  <si>
    <t xml:space="preserve">7.13</t>
  </si>
  <si>
    <t xml:space="preserve">Equipment maintenance</t>
  </si>
  <si>
    <t xml:space="preserve">Applies to WMS server and network hardware maintenance schedules.</t>
  </si>
  <si>
    <t xml:space="preserve">7.14</t>
  </si>
  <si>
    <t xml:space="preserve">Secure disposal or re-use of equipment</t>
  </si>
  <si>
    <t xml:space="preserve">Ensures data is not recoverable from decommissioned laptops or servers.</t>
  </si>
  <si>
    <t xml:space="preserve">8.1</t>
  </si>
  <si>
    <t xml:space="preserve">User endpoint devices</t>
  </si>
  <si>
    <t xml:space="preserve">Technological</t>
  </si>
  <si>
    <t xml:space="preserve">Directly addresses the laptop encryption gap identified in the risk register.</t>
  </si>
  <si>
    <t xml:space="preserve">8.2</t>
  </si>
  <si>
    <t xml:space="preserve">Privileged access rights</t>
  </si>
  <si>
    <t xml:space="preserve">Addresses the shared admin account issue in the cloud ERP.</t>
  </si>
  <si>
    <t xml:space="preserve">8.3</t>
  </si>
  <si>
    <t xml:space="preserve">Information access restriction</t>
  </si>
  <si>
    <t xml:space="preserve">Supports a least-privilege approach for the WMS and ERP.</t>
  </si>
  <si>
    <t xml:space="preserve">R-004, R-006</t>
  </si>
  <si>
    <t xml:space="preserve">8.4</t>
  </si>
  <si>
    <t xml:space="preserve">Access to source code</t>
  </si>
  <si>
    <t xml:space="preserve">No</t>
  </si>
  <si>
    <t xml:space="preserve">NRW Logistics does not develop or maintain proprietary source code; all platforms are vendor-supplied (WMS, ERP, telematics).</t>
  </si>
  <si>
    <t xml:space="preserve">N/A</t>
  </si>
  <si>
    <t xml:space="preserve">8.5</t>
  </si>
  <si>
    <t xml:space="preserve">Secure authentication</t>
  </si>
  <si>
    <t xml:space="preserve">Directly addresses weak passwords and the VPN MFA gap.</t>
  </si>
  <si>
    <t xml:space="preserve">R-010, R-011</t>
  </si>
  <si>
    <t xml:space="preserve">8.6</t>
  </si>
  <si>
    <t xml:space="preserve">Capacity management</t>
  </si>
  <si>
    <t xml:space="preserve">Relevant to WMS and ERP performance during peak shipping periods.</t>
  </si>
  <si>
    <t xml:space="preserve">8.7</t>
  </si>
  <si>
    <t xml:space="preserve">Protection against malware</t>
  </si>
  <si>
    <t xml:space="preserve">Directly addresses ransomware risk on the WMS and backup infrastructure.</t>
  </si>
  <si>
    <t xml:space="preserve">8.8</t>
  </si>
  <si>
    <t xml:space="preserve">Management of technical vulnerabilities</t>
  </si>
  <si>
    <t xml:space="preserve">Addresses irregular patching identified for the WMS and telematics platform.</t>
  </si>
  <si>
    <t xml:space="preserve">R-002, R-003</t>
  </si>
  <si>
    <t xml:space="preserve">8.9</t>
  </si>
  <si>
    <t xml:space="preserve">Configuration management</t>
  </si>
  <si>
    <t xml:space="preserve">Addresses the Azure ERP misconfiguration risk.</t>
  </si>
  <si>
    <t xml:space="preserve">8.10</t>
  </si>
  <si>
    <t xml:space="preserve">Information deletion</t>
  </si>
  <si>
    <t xml:space="preserve">Applies to secure deletion of customer data on request (GDPR) and decommissioned equipment.</t>
  </si>
  <si>
    <t xml:space="preserve">8.11</t>
  </si>
  <si>
    <t xml:space="preserve">Data masking</t>
  </si>
  <si>
    <t xml:space="preserve">No test or development environment exists that processes copies of production personal data.</t>
  </si>
  <si>
    <t xml:space="preserve">8.12</t>
  </si>
  <si>
    <t xml:space="preserve">Data leakage prevention</t>
  </si>
  <si>
    <t xml:space="preserve">Relevant to customer shipment data exposure via the customs API and email.</t>
  </si>
  <si>
    <t xml:space="preserve">R-001, R-008</t>
  </si>
  <si>
    <t xml:space="preserve">8.13</t>
  </si>
  <si>
    <t xml:space="preserve">Information backup</t>
  </si>
  <si>
    <t xml:space="preserve">Directly addresses the untested backup restoration gap.</t>
  </si>
  <si>
    <t xml:space="preserve">8.14</t>
  </si>
  <si>
    <t xml:space="preserve">Redundancy of information processing facilities</t>
  </si>
  <si>
    <t xml:space="preserve">Relevant to WMS and ERP availability, currently single points of failure.</t>
  </si>
  <si>
    <t xml:space="preserve">8.15</t>
  </si>
  <si>
    <t xml:space="preserve">Logging</t>
  </si>
  <si>
    <t xml:space="preserve">Addresses the lack of audit logging in the WMS and on VPN access.</t>
  </si>
  <si>
    <t xml:space="preserve">R-006, R-011</t>
  </si>
  <si>
    <t xml:space="preserve">8.16</t>
  </si>
  <si>
    <t xml:space="preserve">Monitoring activities</t>
  </si>
  <si>
    <t xml:space="preserve">No centralized monitoring or SIEM exists today; needed to detect the scenarios in the risk register.</t>
  </si>
  <si>
    <t xml:space="preserve">8.17</t>
  </si>
  <si>
    <t xml:space="preserve">Clock synchronization</t>
  </si>
  <si>
    <t xml:space="preserve">Required for reliable log correlation once logging and monitoring are implemented.</t>
  </si>
  <si>
    <t xml:space="preserve">8.18</t>
  </si>
  <si>
    <t xml:space="preserve">Use of privileged utility programs</t>
  </si>
  <si>
    <t xml:space="preserve">Restricts administrative tools on the HQ network and servers.</t>
  </si>
  <si>
    <t xml:space="preserve">8.19</t>
  </si>
  <si>
    <t xml:space="preserve">Installation of software on operational systems</t>
  </si>
  <si>
    <t xml:space="preserve">Prevents unauthorized software installation on WMS and ERP-connected endpoints.</t>
  </si>
  <si>
    <t xml:space="preserve">8.20</t>
  </si>
  <si>
    <t xml:space="preserve">Networks security</t>
  </si>
  <si>
    <t xml:space="preserve">Addresses the lack of network segmentation identified for the WMS.</t>
  </si>
  <si>
    <t xml:space="preserve">R-002</t>
  </si>
  <si>
    <t xml:space="preserve">8.21</t>
  </si>
  <si>
    <t xml:space="preserve">Security of network services</t>
  </si>
  <si>
    <t xml:space="preserve">Applies to VPN and the internet-facing telematics platform.</t>
  </si>
  <si>
    <t xml:space="preserve">R-003, R-011</t>
  </si>
  <si>
    <t xml:space="preserve">8.22</t>
  </si>
  <si>
    <t xml:space="preserve">Segregation of networks</t>
  </si>
  <si>
    <t xml:space="preserve">Directly addresses the WMS and office LAN segmentation gap.</t>
  </si>
  <si>
    <t xml:space="preserve">8.23</t>
  </si>
  <si>
    <t xml:space="preserve">Web filtering</t>
  </si>
  <si>
    <t xml:space="preserve">Reduces phishing and malicious site exposure.</t>
  </si>
  <si>
    <t xml:space="preserve">8.24</t>
  </si>
  <si>
    <t xml:space="preserve">Use of cryptography</t>
  </si>
  <si>
    <t xml:space="preserve">Addresses laptop encryption and data-in-transit protection for the customs API.</t>
  </si>
  <si>
    <t xml:space="preserve">R-005, R-008</t>
  </si>
  <si>
    <t xml:space="preserve">8.25</t>
  </si>
  <si>
    <t xml:space="preserve">Secure development life cycle</t>
  </si>
  <si>
    <t xml:space="preserve">No in-house software development is performed.</t>
  </si>
  <si>
    <t xml:space="preserve">8.26</t>
  </si>
  <si>
    <t xml:space="preserve">Application security requirements</t>
  </si>
  <si>
    <t xml:space="preserve">No custom application development; all platforms are vendor-supplied and configured, not built in-house.</t>
  </si>
  <si>
    <t xml:space="preserve">8.27</t>
  </si>
  <si>
    <t xml:space="preserve">Secure system architecture and engineering principles</t>
  </si>
  <si>
    <t xml:space="preserve">No in-house system architecture design; infrastructure relies on vendor-supplied platforms.</t>
  </si>
  <si>
    <t xml:space="preserve">8.28</t>
  </si>
  <si>
    <t xml:space="preserve">Secure coding</t>
  </si>
  <si>
    <t xml:space="preserve">No software code is written or maintained by NRW Logistics.</t>
  </si>
  <si>
    <t xml:space="preserve">8.29</t>
  </si>
  <si>
    <t xml:space="preserve">Security testing in development and acceptance</t>
  </si>
  <si>
    <t xml:space="preserve">No development lifecycle exists to test.</t>
  </si>
  <si>
    <t xml:space="preserve">8.30</t>
  </si>
  <si>
    <t xml:space="preserve">Outsourced development</t>
  </si>
  <si>
    <t xml:space="preserve">No development, in-house or outsourced, is commissioned by NRW Logistics.</t>
  </si>
  <si>
    <t xml:space="preserve">8.31</t>
  </si>
  <si>
    <t xml:space="preserve">Separation of development, test and production environments</t>
  </si>
  <si>
    <t xml:space="preserve">No development or test environments exist; only production instances of vendor platforms are used.</t>
  </si>
  <si>
    <t xml:space="preserve">8.32</t>
  </si>
  <si>
    <t xml:space="preserve">Change management</t>
  </si>
  <si>
    <t xml:space="preserve">Applies to configuration changes on the WMS, ERP, and network infrastructure.</t>
  </si>
  <si>
    <t xml:space="preserve">8.33</t>
  </si>
  <si>
    <t xml:space="preserve">Test information</t>
  </si>
  <si>
    <t xml:space="preserve">No test environments containing copies of production data exist.</t>
  </si>
  <si>
    <t xml:space="preserve">8.34</t>
  </si>
  <si>
    <t xml:space="preserve">Protection of information systems during audit testing</t>
  </si>
  <si>
    <t xml:space="preserve">Relevant when the ISMS undergoes internal or certification audit testing activities.</t>
  </si>
  <si>
    <t xml:space="preserve">SoA Summary Dashboard</t>
  </si>
  <si>
    <t xml:space="preserve">Total controls</t>
  </si>
  <si>
    <t xml:space="preserve">Not applicable</t>
  </si>
  <si>
    <t xml:space="preserve">% Applicable</t>
  </si>
  <si>
    <t xml:space="preserve">Total</t>
  </si>
  <si>
    <t xml:space="preserve">Implementation status breakdown</t>
  </si>
  <si>
    <t xml:space="preserve">Statement of Applicability — GRC Analyst Notes</t>
  </si>
  <si>
    <t xml:space="preserve">Why the SoA is the document auditors open first</t>
  </si>
  <si>
    <t xml:space="preserve">The Statement of Applicability is the single artifact that ties everything else together: it shows which of the 93 Annex A controls apply, why, and what the control status is. An auditor uses it as a map to decide which evidence to sample next. A weak or templated SoA — one where every justification reads 'applicable, best practice' — is the fastest way to signal that the ISMS wasn't actually built from a risk assessment.</t>
  </si>
  <si>
    <t xml:space="preserve">Every 'Yes' and every 'No' needs a reason, not just a checkbox</t>
  </si>
  <si>
    <t xml:space="preserve">Clause 6.1.3(d) explicitly requires justification for both inclusion AND exclusion. In this SoA, applicable controls are justified either by a direct link to a risk register entry (e.g. 8.13 Information backup references R-002 and R-009) or by a general governance need (e.g. 5.9 Inventory of assets). Excluded controls (the ten 'No' rows, all in the 8.2x-8.3x development-related range) are justified by a genuine absence of the underlying activity — NRW Logistics doesn't develop software, so secure coding, SDLC, and dev/test/prod separation controls don't apply.</t>
  </si>
  <si>
    <t xml:space="preserve">The traceability chain: risk register to SoA to policy</t>
  </si>
  <si>
    <t xml:space="preserve">Notice the 'Related Risk ID(s)' column. This is what separates a defensible SoA from a copy-pasted template. A control like 5.15 Access control references R-004 and R-010 directly — meaning an auditor (or you, in an interview) can walk the chain: here's the risk, here's the control selected to treat it, here's the policy or procedure that implements it. Controls without a risk reference aren't wrong — some (like 5.31 Legal requirements) are baseline governance controls every ISMS needs regardless of specific risks — but the ones that ARE risk-driven should say so.</t>
  </si>
  <si>
    <t xml:space="preserve">Why ten controls are marked Not Applicable, and why that's fine</t>
  </si>
  <si>
    <t xml:space="preserve">A SoA with 93/93 controls marked 'Yes' is a red flag, not a sign of thoroughness — it usually means no real applicability analysis was done. Here, all ten exclusions cluster around software development (8.4, 8.11, 8.25-8.31, 8.33) because NRW Logistics consumes vendor platforms (WMS, ERP, telematics) rather than building software in-house. This is a coherent, defensible pattern an auditor can verify by asking 'does this organization write code?' — a single fact that legitimately knocks out ten controls at once.</t>
  </si>
  <si>
    <t xml:space="preserve">Implementation status vs. applicability — two different questions</t>
  </si>
  <si>
    <t xml:space="preserve">Applicable = 'this control is relevant to our risk profile.' Implementation status = 'how far along are we in actually doing it.' Most controls here are marked 'Planned' rather than 'Implemented' — that's expected and honest for a first-pass ISMS build. A SoA claiming everything is already 'Implemented' on a brand-new ISMS is not credible. Auditors expect a mix, with a roadmap (see the risk register's review dates) showing how 'Planned' becomes 'Implemented' over time.</t>
  </si>
  <si>
    <t xml:space="preserve">How to use the Summary Dashboard tab</t>
  </si>
  <si>
    <t xml:space="preserve">The dashboard tab counts applicability and implementation status per theme using COUNTIF/COUNTIFS formulas that read live from the SoA sheet — edit any row in the main tab and the dashboard updates automatically. This is the kind of one-page summary a management review (Clause 9.3) would actually look at, rather than scrolling through all 93 rows.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</si>
</sst>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85041"/>
      <name val="Calibri"/>
      <family val="0"/>
      <charset val="1"/>
    </font>
    <font>
      <i val="true"/>
      <sz val="10"/>
      <color rgb="FF5F5E5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  <font>
      <b val="true"/>
      <sz val="11"/>
      <color rgb="FF08504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7F7F5"/>
        <bgColor rgb="FFEEF3F0"/>
      </patternFill>
    </fill>
    <fill>
      <patternFill patternType="solid">
        <fgColor rgb="FFF1EFE8"/>
        <bgColor rgb="FFEEF3F0"/>
      </patternFill>
    </fill>
    <fill>
      <patternFill patternType="solid">
        <fgColor rgb="FFEEF3F0"/>
        <bgColor rgb="FFF1EF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D3D1C7"/>
      <rgbColor rgb="FF808080"/>
      <rgbColor rgb="FF9999FF"/>
      <rgbColor rgb="FF993366"/>
      <rgbColor rgb="FFF7F7F5"/>
      <rgbColor rgb="FFEEF3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850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55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/>
      <c r="H5" s="4" t="s">
        <v>16</v>
      </c>
    </row>
    <row r="6" customFormat="false" ht="23.85" hidden="false" customHeight="false" outlineLevel="0" collapsed="false">
      <c r="A6" s="5" t="s">
        <v>17</v>
      </c>
      <c r="B6" s="5" t="s">
        <v>18</v>
      </c>
      <c r="C6" s="5" t="s">
        <v>12</v>
      </c>
      <c r="D6" s="5" t="s">
        <v>13</v>
      </c>
      <c r="E6" s="5" t="s">
        <v>19</v>
      </c>
      <c r="F6" s="5" t="s">
        <v>15</v>
      </c>
      <c r="G6" s="5"/>
      <c r="H6" s="5" t="s">
        <v>16</v>
      </c>
    </row>
    <row r="7" customFormat="false" ht="15" hidden="false" customHeight="false" outlineLevel="0" collapsed="false">
      <c r="A7" s="4" t="s">
        <v>20</v>
      </c>
      <c r="B7" s="4" t="s">
        <v>21</v>
      </c>
      <c r="C7" s="4" t="s">
        <v>12</v>
      </c>
      <c r="D7" s="4" t="s">
        <v>13</v>
      </c>
      <c r="E7" s="4" t="s">
        <v>22</v>
      </c>
      <c r="F7" s="4" t="s">
        <v>15</v>
      </c>
      <c r="G7" s="4" t="s">
        <v>23</v>
      </c>
      <c r="H7" s="4" t="s">
        <v>24</v>
      </c>
    </row>
    <row r="8" customFormat="false" ht="15" hidden="false" customHeight="false" outlineLevel="0" collapsed="false">
      <c r="A8" s="5" t="s">
        <v>25</v>
      </c>
      <c r="B8" s="5" t="s">
        <v>26</v>
      </c>
      <c r="C8" s="5" t="s">
        <v>12</v>
      </c>
      <c r="D8" s="5" t="s">
        <v>13</v>
      </c>
      <c r="E8" s="5" t="s">
        <v>27</v>
      </c>
      <c r="F8" s="5" t="s">
        <v>15</v>
      </c>
      <c r="G8" s="5"/>
      <c r="H8" s="5" t="s">
        <v>16</v>
      </c>
    </row>
    <row r="9" customFormat="false" ht="23.85" hidden="false" customHeight="false" outlineLevel="0" collapsed="false">
      <c r="A9" s="4" t="s">
        <v>28</v>
      </c>
      <c r="B9" s="4" t="s">
        <v>29</v>
      </c>
      <c r="C9" s="4" t="s">
        <v>12</v>
      </c>
      <c r="D9" s="4" t="s">
        <v>13</v>
      </c>
      <c r="E9" s="4" t="s">
        <v>30</v>
      </c>
      <c r="F9" s="4" t="s">
        <v>15</v>
      </c>
      <c r="G9" s="4"/>
      <c r="H9" s="4" t="s">
        <v>16</v>
      </c>
    </row>
    <row r="10" customFormat="false" ht="23.85" hidden="false" customHeight="false" outlineLevel="0" collapsed="false">
      <c r="A10" s="5" t="s">
        <v>31</v>
      </c>
      <c r="B10" s="5" t="s">
        <v>32</v>
      </c>
      <c r="C10" s="5" t="s">
        <v>12</v>
      </c>
      <c r="D10" s="5" t="s">
        <v>13</v>
      </c>
      <c r="E10" s="5" t="s">
        <v>33</v>
      </c>
      <c r="F10" s="5" t="s">
        <v>15</v>
      </c>
      <c r="G10" s="5"/>
      <c r="H10" s="5" t="s">
        <v>34</v>
      </c>
    </row>
    <row r="11" customFormat="false" ht="23.85" hidden="false" customHeight="false" outlineLevel="0" collapsed="false">
      <c r="A11" s="4" t="s">
        <v>35</v>
      </c>
      <c r="B11" s="4" t="s">
        <v>36</v>
      </c>
      <c r="C11" s="4" t="s">
        <v>12</v>
      </c>
      <c r="D11" s="4" t="s">
        <v>13</v>
      </c>
      <c r="E11" s="4" t="s">
        <v>37</v>
      </c>
      <c r="F11" s="4" t="s">
        <v>15</v>
      </c>
      <c r="G11" s="4" t="s">
        <v>38</v>
      </c>
      <c r="H11" s="4" t="s">
        <v>34</v>
      </c>
    </row>
    <row r="12" customFormat="false" ht="23.85" hidden="false" customHeight="false" outlineLevel="0" collapsed="false">
      <c r="A12" s="5" t="s">
        <v>39</v>
      </c>
      <c r="B12" s="5" t="s">
        <v>40</v>
      </c>
      <c r="C12" s="5" t="s">
        <v>12</v>
      </c>
      <c r="D12" s="5" t="s">
        <v>13</v>
      </c>
      <c r="E12" s="5" t="s">
        <v>41</v>
      </c>
      <c r="F12" s="5" t="s">
        <v>15</v>
      </c>
      <c r="G12" s="5"/>
      <c r="H12" s="5" t="s">
        <v>34</v>
      </c>
    </row>
    <row r="13" customFormat="false" ht="23.85" hidden="false" customHeight="false" outlineLevel="0" collapsed="false">
      <c r="A13" s="4" t="s">
        <v>42</v>
      </c>
      <c r="B13" s="4" t="s">
        <v>43</v>
      </c>
      <c r="C13" s="4" t="s">
        <v>12</v>
      </c>
      <c r="D13" s="4" t="s">
        <v>13</v>
      </c>
      <c r="E13" s="4" t="s">
        <v>44</v>
      </c>
      <c r="F13" s="4" t="s">
        <v>15</v>
      </c>
      <c r="G13" s="4"/>
      <c r="H13" s="4" t="s">
        <v>34</v>
      </c>
    </row>
    <row r="14" customFormat="false" ht="23.85" hidden="false" customHeight="false" outlineLevel="0" collapsed="false">
      <c r="A14" s="5" t="s">
        <v>45</v>
      </c>
      <c r="B14" s="5" t="s">
        <v>46</v>
      </c>
      <c r="C14" s="5" t="s">
        <v>12</v>
      </c>
      <c r="D14" s="5" t="s">
        <v>13</v>
      </c>
      <c r="E14" s="5" t="s">
        <v>47</v>
      </c>
      <c r="F14" s="5" t="s">
        <v>15</v>
      </c>
      <c r="G14" s="5"/>
      <c r="H14" s="5" t="s">
        <v>16</v>
      </c>
    </row>
    <row r="15" customFormat="false" ht="15" hidden="false" customHeight="false" outlineLevel="0" collapsed="false">
      <c r="A15" s="4" t="s">
        <v>48</v>
      </c>
      <c r="B15" s="4" t="s">
        <v>49</v>
      </c>
      <c r="C15" s="4" t="s">
        <v>12</v>
      </c>
      <c r="D15" s="4" t="s">
        <v>13</v>
      </c>
      <c r="E15" s="4" t="s">
        <v>50</v>
      </c>
      <c r="F15" s="4" t="s">
        <v>15</v>
      </c>
      <c r="G15" s="4" t="s">
        <v>51</v>
      </c>
      <c r="H15" s="4" t="s">
        <v>16</v>
      </c>
    </row>
    <row r="16" customFormat="false" ht="23.85" hidden="false" customHeight="false" outlineLevel="0" collapsed="false">
      <c r="A16" s="5" t="s">
        <v>52</v>
      </c>
      <c r="B16" s="5" t="s">
        <v>53</v>
      </c>
      <c r="C16" s="5" t="s">
        <v>12</v>
      </c>
      <c r="D16" s="5" t="s">
        <v>13</v>
      </c>
      <c r="E16" s="5" t="s">
        <v>54</v>
      </c>
      <c r="F16" s="5" t="s">
        <v>15</v>
      </c>
      <c r="G16" s="5"/>
      <c r="H16" s="5" t="s">
        <v>34</v>
      </c>
    </row>
    <row r="17" customFormat="false" ht="23.85" hidden="false" customHeight="false" outlineLevel="0" collapsed="false">
      <c r="A17" s="4" t="s">
        <v>55</v>
      </c>
      <c r="B17" s="4" t="s">
        <v>56</v>
      </c>
      <c r="C17" s="4" t="s">
        <v>12</v>
      </c>
      <c r="D17" s="4" t="s">
        <v>13</v>
      </c>
      <c r="E17" s="4" t="s">
        <v>57</v>
      </c>
      <c r="F17" s="4" t="s">
        <v>15</v>
      </c>
      <c r="G17" s="4"/>
      <c r="H17" s="4" t="s">
        <v>34</v>
      </c>
    </row>
    <row r="18" customFormat="false" ht="23.85" hidden="false" customHeight="false" outlineLevel="0" collapsed="false">
      <c r="A18" s="5" t="s">
        <v>58</v>
      </c>
      <c r="B18" s="5" t="s">
        <v>59</v>
      </c>
      <c r="C18" s="5" t="s">
        <v>12</v>
      </c>
      <c r="D18" s="5" t="s">
        <v>13</v>
      </c>
      <c r="E18" s="5" t="s">
        <v>60</v>
      </c>
      <c r="F18" s="5" t="s">
        <v>15</v>
      </c>
      <c r="G18" s="5" t="s">
        <v>61</v>
      </c>
      <c r="H18" s="5" t="s">
        <v>34</v>
      </c>
    </row>
    <row r="19" customFormat="false" ht="23.85" hidden="false" customHeight="false" outlineLevel="0" collapsed="false">
      <c r="A19" s="4" t="s">
        <v>62</v>
      </c>
      <c r="B19" s="4" t="s">
        <v>63</v>
      </c>
      <c r="C19" s="4" t="s">
        <v>12</v>
      </c>
      <c r="D19" s="4" t="s">
        <v>13</v>
      </c>
      <c r="E19" s="4" t="s">
        <v>64</v>
      </c>
      <c r="F19" s="4" t="s">
        <v>65</v>
      </c>
      <c r="G19" s="4" t="s">
        <v>66</v>
      </c>
      <c r="H19" s="4" t="s">
        <v>34</v>
      </c>
    </row>
    <row r="20" customFormat="false" ht="23.85" hidden="false" customHeight="false" outlineLevel="0" collapsed="false">
      <c r="A20" s="5" t="s">
        <v>67</v>
      </c>
      <c r="B20" s="5" t="s">
        <v>68</v>
      </c>
      <c r="C20" s="5" t="s">
        <v>12</v>
      </c>
      <c r="D20" s="5" t="s">
        <v>13</v>
      </c>
      <c r="E20" s="5" t="s">
        <v>69</v>
      </c>
      <c r="F20" s="5" t="s">
        <v>65</v>
      </c>
      <c r="G20" s="5"/>
      <c r="H20" s="5" t="s">
        <v>34</v>
      </c>
    </row>
    <row r="21" customFormat="false" ht="15" hidden="false" customHeight="false" outlineLevel="0" collapsed="false">
      <c r="A21" s="4" t="s">
        <v>70</v>
      </c>
      <c r="B21" s="4" t="s">
        <v>71</v>
      </c>
      <c r="C21" s="4" t="s">
        <v>12</v>
      </c>
      <c r="D21" s="4" t="s">
        <v>13</v>
      </c>
      <c r="E21" s="4" t="s">
        <v>72</v>
      </c>
      <c r="F21" s="4" t="s">
        <v>15</v>
      </c>
      <c r="G21" s="4" t="s">
        <v>73</v>
      </c>
      <c r="H21" s="4" t="s">
        <v>34</v>
      </c>
    </row>
    <row r="22" customFormat="false" ht="15" hidden="false" customHeight="false" outlineLevel="0" collapsed="false">
      <c r="A22" s="5" t="s">
        <v>74</v>
      </c>
      <c r="B22" s="5" t="s">
        <v>75</v>
      </c>
      <c r="C22" s="5" t="s">
        <v>12</v>
      </c>
      <c r="D22" s="5" t="s">
        <v>13</v>
      </c>
      <c r="E22" s="5" t="s">
        <v>76</v>
      </c>
      <c r="F22" s="5" t="s">
        <v>15</v>
      </c>
      <c r="G22" s="5" t="s">
        <v>77</v>
      </c>
      <c r="H22" s="5" t="s">
        <v>34</v>
      </c>
    </row>
    <row r="23" customFormat="false" ht="15" hidden="false" customHeight="false" outlineLevel="0" collapsed="false">
      <c r="A23" s="4" t="s">
        <v>78</v>
      </c>
      <c r="B23" s="4" t="s">
        <v>79</v>
      </c>
      <c r="C23" s="4" t="s">
        <v>12</v>
      </c>
      <c r="D23" s="4" t="s">
        <v>13</v>
      </c>
      <c r="E23" s="4" t="s">
        <v>80</v>
      </c>
      <c r="F23" s="4" t="s">
        <v>15</v>
      </c>
      <c r="G23" s="4" t="s">
        <v>81</v>
      </c>
      <c r="H23" s="4" t="s">
        <v>34</v>
      </c>
    </row>
    <row r="24" customFormat="false" ht="23.85" hidden="false" customHeight="false" outlineLevel="0" collapsed="false">
      <c r="A24" s="5" t="s">
        <v>82</v>
      </c>
      <c r="B24" s="5" t="s">
        <v>83</v>
      </c>
      <c r="C24" s="5" t="s">
        <v>12</v>
      </c>
      <c r="D24" s="5" t="s">
        <v>13</v>
      </c>
      <c r="E24" s="5" t="s">
        <v>84</v>
      </c>
      <c r="F24" s="5" t="s">
        <v>15</v>
      </c>
      <c r="G24" s="5"/>
      <c r="H24" s="5" t="s">
        <v>34</v>
      </c>
    </row>
    <row r="25" customFormat="false" ht="23.85" hidden="false" customHeight="false" outlineLevel="0" collapsed="false">
      <c r="A25" s="4" t="s">
        <v>85</v>
      </c>
      <c r="B25" s="4" t="s">
        <v>86</v>
      </c>
      <c r="C25" s="4" t="s">
        <v>12</v>
      </c>
      <c r="D25" s="4" t="s">
        <v>13</v>
      </c>
      <c r="E25" s="4" t="s">
        <v>87</v>
      </c>
      <c r="F25" s="4" t="s">
        <v>15</v>
      </c>
      <c r="G25" s="4" t="s">
        <v>88</v>
      </c>
      <c r="H25" s="4" t="s">
        <v>34</v>
      </c>
    </row>
    <row r="26" customFormat="false" ht="23.85" hidden="false" customHeight="false" outlineLevel="0" collapsed="false">
      <c r="A26" s="5" t="s">
        <v>89</v>
      </c>
      <c r="B26" s="5" t="s">
        <v>90</v>
      </c>
      <c r="C26" s="5" t="s">
        <v>12</v>
      </c>
      <c r="D26" s="5" t="s">
        <v>13</v>
      </c>
      <c r="E26" s="5" t="s">
        <v>91</v>
      </c>
      <c r="F26" s="5" t="s">
        <v>15</v>
      </c>
      <c r="G26" s="5" t="s">
        <v>88</v>
      </c>
      <c r="H26" s="5" t="s">
        <v>34</v>
      </c>
    </row>
    <row r="27" customFormat="false" ht="15" hidden="false" customHeight="false" outlineLevel="0" collapsed="false">
      <c r="A27" s="4" t="s">
        <v>92</v>
      </c>
      <c r="B27" s="4" t="s">
        <v>93</v>
      </c>
      <c r="C27" s="4" t="s">
        <v>12</v>
      </c>
      <c r="D27" s="4" t="s">
        <v>13</v>
      </c>
      <c r="E27" s="4" t="s">
        <v>94</v>
      </c>
      <c r="F27" s="4" t="s">
        <v>15</v>
      </c>
      <c r="G27" s="4" t="s">
        <v>95</v>
      </c>
      <c r="H27" s="4" t="s">
        <v>34</v>
      </c>
    </row>
    <row r="28" customFormat="false" ht="23.85" hidden="false" customHeight="false" outlineLevel="0" collapsed="false">
      <c r="A28" s="5" t="s">
        <v>96</v>
      </c>
      <c r="B28" s="5" t="s">
        <v>97</v>
      </c>
      <c r="C28" s="5" t="s">
        <v>12</v>
      </c>
      <c r="D28" s="5" t="s">
        <v>13</v>
      </c>
      <c r="E28" s="5" t="s">
        <v>98</v>
      </c>
      <c r="F28" s="5" t="s">
        <v>15</v>
      </c>
      <c r="G28" s="5"/>
      <c r="H28" s="5" t="s">
        <v>16</v>
      </c>
    </row>
    <row r="29" customFormat="false" ht="23.85" hidden="false" customHeight="false" outlineLevel="0" collapsed="false">
      <c r="A29" s="4" t="s">
        <v>99</v>
      </c>
      <c r="B29" s="4" t="s">
        <v>100</v>
      </c>
      <c r="C29" s="4" t="s">
        <v>12</v>
      </c>
      <c r="D29" s="4" t="s">
        <v>13</v>
      </c>
      <c r="E29" s="4" t="s">
        <v>101</v>
      </c>
      <c r="F29" s="4" t="s">
        <v>15</v>
      </c>
      <c r="G29" s="4"/>
      <c r="H29" s="4" t="s">
        <v>34</v>
      </c>
    </row>
    <row r="30" customFormat="false" ht="15" hidden="false" customHeight="false" outlineLevel="0" collapsed="false">
      <c r="A30" s="5" t="s">
        <v>102</v>
      </c>
      <c r="B30" s="5" t="s">
        <v>103</v>
      </c>
      <c r="C30" s="5" t="s">
        <v>12</v>
      </c>
      <c r="D30" s="5" t="s">
        <v>13</v>
      </c>
      <c r="E30" s="5" t="s">
        <v>104</v>
      </c>
      <c r="F30" s="5" t="s">
        <v>15</v>
      </c>
      <c r="G30" s="5" t="s">
        <v>105</v>
      </c>
      <c r="H30" s="5" t="s">
        <v>34</v>
      </c>
    </row>
    <row r="31" customFormat="false" ht="15" hidden="false" customHeight="false" outlineLevel="0" collapsed="false">
      <c r="A31" s="4" t="s">
        <v>106</v>
      </c>
      <c r="B31" s="4" t="s">
        <v>107</v>
      </c>
      <c r="C31" s="4" t="s">
        <v>12</v>
      </c>
      <c r="D31" s="4" t="s">
        <v>13</v>
      </c>
      <c r="E31" s="4" t="s">
        <v>108</v>
      </c>
      <c r="F31" s="4" t="s">
        <v>15</v>
      </c>
      <c r="G31" s="4"/>
      <c r="H31" s="4" t="s">
        <v>34</v>
      </c>
    </row>
    <row r="32" customFormat="false" ht="23.85" hidden="false" customHeight="false" outlineLevel="0" collapsed="false">
      <c r="A32" s="5" t="s">
        <v>109</v>
      </c>
      <c r="B32" s="5" t="s">
        <v>110</v>
      </c>
      <c r="C32" s="5" t="s">
        <v>12</v>
      </c>
      <c r="D32" s="5" t="s">
        <v>13</v>
      </c>
      <c r="E32" s="5" t="s">
        <v>111</v>
      </c>
      <c r="F32" s="5" t="s">
        <v>15</v>
      </c>
      <c r="G32" s="5"/>
      <c r="H32" s="5" t="s">
        <v>34</v>
      </c>
    </row>
    <row r="33" customFormat="false" ht="15" hidden="false" customHeight="false" outlineLevel="0" collapsed="false">
      <c r="A33" s="4" t="s">
        <v>112</v>
      </c>
      <c r="B33" s="4" t="s">
        <v>113</v>
      </c>
      <c r="C33" s="4" t="s">
        <v>12</v>
      </c>
      <c r="D33" s="4" t="s">
        <v>13</v>
      </c>
      <c r="E33" s="4" t="s">
        <v>114</v>
      </c>
      <c r="F33" s="4" t="s">
        <v>15</v>
      </c>
      <c r="G33" s="4" t="s">
        <v>115</v>
      </c>
      <c r="H33" s="4" t="s">
        <v>34</v>
      </c>
    </row>
    <row r="34" customFormat="false" ht="15" hidden="false" customHeight="false" outlineLevel="0" collapsed="false">
      <c r="A34" s="5" t="s">
        <v>116</v>
      </c>
      <c r="B34" s="5" t="s">
        <v>117</v>
      </c>
      <c r="C34" s="5" t="s">
        <v>12</v>
      </c>
      <c r="D34" s="5" t="s">
        <v>13</v>
      </c>
      <c r="E34" s="5" t="s">
        <v>118</v>
      </c>
      <c r="F34" s="5" t="s">
        <v>15</v>
      </c>
      <c r="G34" s="5" t="s">
        <v>119</v>
      </c>
      <c r="H34" s="5" t="s">
        <v>34</v>
      </c>
    </row>
    <row r="35" customFormat="false" ht="23.85" hidden="false" customHeight="false" outlineLevel="0" collapsed="false">
      <c r="A35" s="4" t="s">
        <v>120</v>
      </c>
      <c r="B35" s="4" t="s">
        <v>121</v>
      </c>
      <c r="C35" s="4" t="s">
        <v>12</v>
      </c>
      <c r="D35" s="4" t="s">
        <v>13</v>
      </c>
      <c r="E35" s="4" t="s">
        <v>122</v>
      </c>
      <c r="F35" s="4" t="s">
        <v>15</v>
      </c>
      <c r="G35" s="4"/>
      <c r="H35" s="4" t="s">
        <v>16</v>
      </c>
    </row>
    <row r="36" customFormat="false" ht="15" hidden="false" customHeight="false" outlineLevel="0" collapsed="false">
      <c r="A36" s="5" t="s">
        <v>123</v>
      </c>
      <c r="B36" s="5" t="s">
        <v>124</v>
      </c>
      <c r="C36" s="5" t="s">
        <v>12</v>
      </c>
      <c r="D36" s="5" t="s">
        <v>13</v>
      </c>
      <c r="E36" s="5" t="s">
        <v>125</v>
      </c>
      <c r="F36" s="5" t="s">
        <v>15</v>
      </c>
      <c r="G36" s="5"/>
      <c r="H36" s="5" t="s">
        <v>34</v>
      </c>
    </row>
    <row r="37" customFormat="false" ht="15" hidden="false" customHeight="false" outlineLevel="0" collapsed="false">
      <c r="A37" s="4" t="s">
        <v>126</v>
      </c>
      <c r="B37" s="4" t="s">
        <v>127</v>
      </c>
      <c r="C37" s="4" t="s">
        <v>12</v>
      </c>
      <c r="D37" s="4" t="s">
        <v>13</v>
      </c>
      <c r="E37" s="4" t="s">
        <v>128</v>
      </c>
      <c r="F37" s="4" t="s">
        <v>15</v>
      </c>
      <c r="G37" s="4"/>
      <c r="H37" s="4" t="s">
        <v>34</v>
      </c>
    </row>
    <row r="38" customFormat="false" ht="23.85" hidden="false" customHeight="false" outlineLevel="0" collapsed="false">
      <c r="A38" s="5" t="s">
        <v>129</v>
      </c>
      <c r="B38" s="5" t="s">
        <v>130</v>
      </c>
      <c r="C38" s="5" t="s">
        <v>12</v>
      </c>
      <c r="D38" s="5" t="s">
        <v>13</v>
      </c>
      <c r="E38" s="5" t="s">
        <v>131</v>
      </c>
      <c r="F38" s="5" t="s">
        <v>15</v>
      </c>
      <c r="G38" s="5"/>
      <c r="H38" s="5" t="s">
        <v>16</v>
      </c>
    </row>
    <row r="39" customFormat="false" ht="15" hidden="false" customHeight="false" outlineLevel="0" collapsed="false">
      <c r="A39" s="4" t="s">
        <v>132</v>
      </c>
      <c r="B39" s="4" t="s">
        <v>133</v>
      </c>
      <c r="C39" s="4" t="s">
        <v>12</v>
      </c>
      <c r="D39" s="4" t="s">
        <v>13</v>
      </c>
      <c r="E39" s="4" t="s">
        <v>134</v>
      </c>
      <c r="F39" s="4" t="s">
        <v>135</v>
      </c>
      <c r="G39" s="4"/>
      <c r="H39" s="4" t="s">
        <v>16</v>
      </c>
    </row>
    <row r="40" customFormat="false" ht="23.85" hidden="false" customHeight="false" outlineLevel="0" collapsed="false">
      <c r="A40" s="5" t="s">
        <v>136</v>
      </c>
      <c r="B40" s="5" t="s">
        <v>137</v>
      </c>
      <c r="C40" s="5" t="s">
        <v>12</v>
      </c>
      <c r="D40" s="5" t="s">
        <v>13</v>
      </c>
      <c r="E40" s="5" t="s">
        <v>138</v>
      </c>
      <c r="F40" s="5" t="s">
        <v>15</v>
      </c>
      <c r="G40" s="5"/>
      <c r="H40" s="5" t="s">
        <v>16</v>
      </c>
    </row>
    <row r="41" customFormat="false" ht="23.85" hidden="false" customHeight="false" outlineLevel="0" collapsed="false">
      <c r="A41" s="4" t="s">
        <v>139</v>
      </c>
      <c r="B41" s="4" t="s">
        <v>140</v>
      </c>
      <c r="C41" s="4" t="s">
        <v>12</v>
      </c>
      <c r="D41" s="4" t="s">
        <v>13</v>
      </c>
      <c r="E41" s="4" t="s">
        <v>141</v>
      </c>
      <c r="F41" s="4" t="s">
        <v>15</v>
      </c>
      <c r="G41" s="4"/>
      <c r="H41" s="4" t="s">
        <v>34</v>
      </c>
    </row>
    <row r="42" customFormat="false" ht="23.85" hidden="false" customHeight="false" outlineLevel="0" collapsed="false">
      <c r="A42" s="5" t="s">
        <v>142</v>
      </c>
      <c r="B42" s="5" t="s">
        <v>143</v>
      </c>
      <c r="C42" s="5" t="s">
        <v>144</v>
      </c>
      <c r="D42" s="5" t="s">
        <v>13</v>
      </c>
      <c r="E42" s="5" t="s">
        <v>145</v>
      </c>
      <c r="F42" s="5" t="s">
        <v>15</v>
      </c>
      <c r="G42" s="5"/>
      <c r="H42" s="5" t="s">
        <v>16</v>
      </c>
    </row>
    <row r="43" customFormat="false" ht="15" hidden="false" customHeight="false" outlineLevel="0" collapsed="false">
      <c r="A43" s="4" t="s">
        <v>146</v>
      </c>
      <c r="B43" s="4" t="s">
        <v>147</v>
      </c>
      <c r="C43" s="4" t="s">
        <v>144</v>
      </c>
      <c r="D43" s="4" t="s">
        <v>13</v>
      </c>
      <c r="E43" s="4" t="s">
        <v>148</v>
      </c>
      <c r="F43" s="4" t="s">
        <v>15</v>
      </c>
      <c r="G43" s="4"/>
      <c r="H43" s="4" t="s">
        <v>16</v>
      </c>
    </row>
    <row r="44" customFormat="false" ht="23.85" hidden="false" customHeight="false" outlineLevel="0" collapsed="false">
      <c r="A44" s="5" t="s">
        <v>149</v>
      </c>
      <c r="B44" s="5" t="s">
        <v>150</v>
      </c>
      <c r="C44" s="5" t="s">
        <v>144</v>
      </c>
      <c r="D44" s="5" t="s">
        <v>13</v>
      </c>
      <c r="E44" s="5" t="s">
        <v>151</v>
      </c>
      <c r="F44" s="5" t="s">
        <v>15</v>
      </c>
      <c r="G44" s="5" t="s">
        <v>152</v>
      </c>
      <c r="H44" s="5" t="s">
        <v>16</v>
      </c>
    </row>
    <row r="45" customFormat="false" ht="15" hidden="false" customHeight="false" outlineLevel="0" collapsed="false">
      <c r="A45" s="4" t="s">
        <v>153</v>
      </c>
      <c r="B45" s="4" t="s">
        <v>154</v>
      </c>
      <c r="C45" s="4" t="s">
        <v>144</v>
      </c>
      <c r="D45" s="4" t="s">
        <v>13</v>
      </c>
      <c r="E45" s="4" t="s">
        <v>155</v>
      </c>
      <c r="F45" s="4" t="s">
        <v>15</v>
      </c>
      <c r="G45" s="4"/>
      <c r="H45" s="4" t="s">
        <v>16</v>
      </c>
    </row>
    <row r="46" customFormat="false" ht="23.85" hidden="false" customHeight="false" outlineLevel="0" collapsed="false">
      <c r="A46" s="5" t="s">
        <v>156</v>
      </c>
      <c r="B46" s="5" t="s">
        <v>157</v>
      </c>
      <c r="C46" s="5" t="s">
        <v>144</v>
      </c>
      <c r="D46" s="5" t="s">
        <v>13</v>
      </c>
      <c r="E46" s="5" t="s">
        <v>158</v>
      </c>
      <c r="F46" s="5" t="s">
        <v>15</v>
      </c>
      <c r="G46" s="5" t="s">
        <v>159</v>
      </c>
      <c r="H46" s="5" t="s">
        <v>34</v>
      </c>
    </row>
    <row r="47" customFormat="false" ht="23.85" hidden="false" customHeight="false" outlineLevel="0" collapsed="false">
      <c r="A47" s="4" t="s">
        <v>160</v>
      </c>
      <c r="B47" s="4" t="s">
        <v>161</v>
      </c>
      <c r="C47" s="4" t="s">
        <v>144</v>
      </c>
      <c r="D47" s="4" t="s">
        <v>13</v>
      </c>
      <c r="E47" s="4" t="s">
        <v>162</v>
      </c>
      <c r="F47" s="4" t="s">
        <v>15</v>
      </c>
      <c r="G47" s="4"/>
      <c r="H47" s="4" t="s">
        <v>16</v>
      </c>
    </row>
    <row r="48" customFormat="false" ht="15" hidden="false" customHeight="false" outlineLevel="0" collapsed="false">
      <c r="A48" s="5" t="s">
        <v>163</v>
      </c>
      <c r="B48" s="5" t="s">
        <v>164</v>
      </c>
      <c r="C48" s="5" t="s">
        <v>144</v>
      </c>
      <c r="D48" s="5" t="s">
        <v>13</v>
      </c>
      <c r="E48" s="5" t="s">
        <v>165</v>
      </c>
      <c r="F48" s="5" t="s">
        <v>15</v>
      </c>
      <c r="G48" s="5" t="s">
        <v>159</v>
      </c>
      <c r="H48" s="5" t="s">
        <v>34</v>
      </c>
    </row>
    <row r="49" customFormat="false" ht="23.85" hidden="false" customHeight="false" outlineLevel="0" collapsed="false">
      <c r="A49" s="4" t="s">
        <v>166</v>
      </c>
      <c r="B49" s="4" t="s">
        <v>167</v>
      </c>
      <c r="C49" s="4" t="s">
        <v>144</v>
      </c>
      <c r="D49" s="4" t="s">
        <v>13</v>
      </c>
      <c r="E49" s="4" t="s">
        <v>168</v>
      </c>
      <c r="F49" s="4" t="s">
        <v>15</v>
      </c>
      <c r="G49" s="4"/>
      <c r="H49" s="4" t="s">
        <v>16</v>
      </c>
    </row>
    <row r="50" customFormat="false" ht="23.85" hidden="false" customHeight="false" outlineLevel="0" collapsed="false">
      <c r="A50" s="5" t="s">
        <v>169</v>
      </c>
      <c r="B50" s="5" t="s">
        <v>170</v>
      </c>
      <c r="C50" s="5" t="s">
        <v>171</v>
      </c>
      <c r="D50" s="5" t="s">
        <v>13</v>
      </c>
      <c r="E50" s="5" t="s">
        <v>172</v>
      </c>
      <c r="F50" s="5" t="s">
        <v>173</v>
      </c>
      <c r="G50" s="5"/>
      <c r="H50" s="5" t="s">
        <v>16</v>
      </c>
    </row>
    <row r="51" customFormat="false" ht="15" hidden="false" customHeight="false" outlineLevel="0" collapsed="false">
      <c r="A51" s="4" t="s">
        <v>174</v>
      </c>
      <c r="B51" s="4" t="s">
        <v>175</v>
      </c>
      <c r="C51" s="4" t="s">
        <v>171</v>
      </c>
      <c r="D51" s="4" t="s">
        <v>13</v>
      </c>
      <c r="E51" s="4" t="s">
        <v>176</v>
      </c>
      <c r="F51" s="4" t="s">
        <v>65</v>
      </c>
      <c r="G51" s="4"/>
      <c r="H51" s="4" t="s">
        <v>24</v>
      </c>
    </row>
    <row r="52" customFormat="false" ht="15" hidden="false" customHeight="false" outlineLevel="0" collapsed="false">
      <c r="A52" s="5" t="s">
        <v>177</v>
      </c>
      <c r="B52" s="5" t="s">
        <v>178</v>
      </c>
      <c r="C52" s="5" t="s">
        <v>171</v>
      </c>
      <c r="D52" s="5" t="s">
        <v>13</v>
      </c>
      <c r="E52" s="5" t="s">
        <v>179</v>
      </c>
      <c r="F52" s="5" t="s">
        <v>15</v>
      </c>
      <c r="G52" s="5"/>
      <c r="H52" s="5" t="s">
        <v>34</v>
      </c>
    </row>
    <row r="53" customFormat="false" ht="23.85" hidden="false" customHeight="false" outlineLevel="0" collapsed="false">
      <c r="A53" s="4" t="s">
        <v>180</v>
      </c>
      <c r="B53" s="4" t="s">
        <v>181</v>
      </c>
      <c r="C53" s="4" t="s">
        <v>171</v>
      </c>
      <c r="D53" s="4" t="s">
        <v>13</v>
      </c>
      <c r="E53" s="4" t="s">
        <v>182</v>
      </c>
      <c r="F53" s="4" t="s">
        <v>65</v>
      </c>
      <c r="G53" s="4"/>
      <c r="H53" s="4" t="s">
        <v>24</v>
      </c>
    </row>
    <row r="54" customFormat="false" ht="23.85" hidden="false" customHeight="false" outlineLevel="0" collapsed="false">
      <c r="A54" s="5" t="s">
        <v>183</v>
      </c>
      <c r="B54" s="5" t="s">
        <v>184</v>
      </c>
      <c r="C54" s="5" t="s">
        <v>171</v>
      </c>
      <c r="D54" s="5" t="s">
        <v>13</v>
      </c>
      <c r="E54" s="5" t="s">
        <v>185</v>
      </c>
      <c r="F54" s="5" t="s">
        <v>15</v>
      </c>
      <c r="G54" s="5"/>
      <c r="H54" s="5" t="s">
        <v>34</v>
      </c>
    </row>
    <row r="55" customFormat="false" ht="15" hidden="false" customHeight="false" outlineLevel="0" collapsed="false">
      <c r="A55" s="4" t="s">
        <v>186</v>
      </c>
      <c r="B55" s="4" t="s">
        <v>187</v>
      </c>
      <c r="C55" s="4" t="s">
        <v>171</v>
      </c>
      <c r="D55" s="4" t="s">
        <v>13</v>
      </c>
      <c r="E55" s="4" t="s">
        <v>188</v>
      </c>
      <c r="F55" s="4" t="s">
        <v>15</v>
      </c>
      <c r="G55" s="4"/>
      <c r="H55" s="4" t="s">
        <v>24</v>
      </c>
    </row>
    <row r="56" customFormat="false" ht="15" hidden="false" customHeight="false" outlineLevel="0" collapsed="false">
      <c r="A56" s="5" t="s">
        <v>189</v>
      </c>
      <c r="B56" s="5" t="s">
        <v>190</v>
      </c>
      <c r="C56" s="5" t="s">
        <v>171</v>
      </c>
      <c r="D56" s="5" t="s">
        <v>13</v>
      </c>
      <c r="E56" s="5" t="s">
        <v>191</v>
      </c>
      <c r="F56" s="5" t="s">
        <v>15</v>
      </c>
      <c r="G56" s="5"/>
      <c r="H56" s="5" t="s">
        <v>16</v>
      </c>
    </row>
    <row r="57" customFormat="false" ht="15" hidden="false" customHeight="false" outlineLevel="0" collapsed="false">
      <c r="A57" s="4" t="s">
        <v>192</v>
      </c>
      <c r="B57" s="4" t="s">
        <v>193</v>
      </c>
      <c r="C57" s="4" t="s">
        <v>171</v>
      </c>
      <c r="D57" s="4" t="s">
        <v>13</v>
      </c>
      <c r="E57" s="4" t="s">
        <v>194</v>
      </c>
      <c r="F57" s="4" t="s">
        <v>173</v>
      </c>
      <c r="G57" s="4"/>
      <c r="H57" s="4" t="s">
        <v>34</v>
      </c>
    </row>
    <row r="58" customFormat="false" ht="23.85" hidden="false" customHeight="false" outlineLevel="0" collapsed="false">
      <c r="A58" s="5" t="s">
        <v>195</v>
      </c>
      <c r="B58" s="5" t="s">
        <v>196</v>
      </c>
      <c r="C58" s="5" t="s">
        <v>171</v>
      </c>
      <c r="D58" s="5" t="s">
        <v>13</v>
      </c>
      <c r="E58" s="5" t="s">
        <v>197</v>
      </c>
      <c r="F58" s="5" t="s">
        <v>15</v>
      </c>
      <c r="G58" s="5" t="s">
        <v>51</v>
      </c>
      <c r="H58" s="5" t="s">
        <v>34</v>
      </c>
    </row>
    <row r="59" customFormat="false" ht="15" hidden="false" customHeight="false" outlineLevel="0" collapsed="false">
      <c r="A59" s="4" t="s">
        <v>198</v>
      </c>
      <c r="B59" s="4" t="s">
        <v>199</v>
      </c>
      <c r="C59" s="4" t="s">
        <v>171</v>
      </c>
      <c r="D59" s="4" t="s">
        <v>13</v>
      </c>
      <c r="E59" s="4" t="s">
        <v>200</v>
      </c>
      <c r="F59" s="4" t="s">
        <v>15</v>
      </c>
      <c r="G59" s="4" t="s">
        <v>115</v>
      </c>
      <c r="H59" s="4" t="s">
        <v>34</v>
      </c>
    </row>
    <row r="60" customFormat="false" ht="15" hidden="false" customHeight="false" outlineLevel="0" collapsed="false">
      <c r="A60" s="5" t="s">
        <v>201</v>
      </c>
      <c r="B60" s="5" t="s">
        <v>202</v>
      </c>
      <c r="C60" s="5" t="s">
        <v>171</v>
      </c>
      <c r="D60" s="5" t="s">
        <v>13</v>
      </c>
      <c r="E60" s="5" t="s">
        <v>203</v>
      </c>
      <c r="F60" s="5" t="s">
        <v>65</v>
      </c>
      <c r="G60" s="5"/>
      <c r="H60" s="5" t="s">
        <v>24</v>
      </c>
    </row>
    <row r="61" customFormat="false" ht="15" hidden="false" customHeight="false" outlineLevel="0" collapsed="false">
      <c r="A61" s="4" t="s">
        <v>204</v>
      </c>
      <c r="B61" s="4" t="s">
        <v>205</v>
      </c>
      <c r="C61" s="4" t="s">
        <v>171</v>
      </c>
      <c r="D61" s="4" t="s">
        <v>13</v>
      </c>
      <c r="E61" s="4" t="s">
        <v>206</v>
      </c>
      <c r="F61" s="4" t="s">
        <v>173</v>
      </c>
      <c r="G61" s="4"/>
      <c r="H61" s="4" t="s">
        <v>34</v>
      </c>
    </row>
    <row r="62" customFormat="false" ht="15" hidden="false" customHeight="false" outlineLevel="0" collapsed="false">
      <c r="A62" s="5" t="s">
        <v>207</v>
      </c>
      <c r="B62" s="5" t="s">
        <v>208</v>
      </c>
      <c r="C62" s="5" t="s">
        <v>171</v>
      </c>
      <c r="D62" s="5" t="s">
        <v>13</v>
      </c>
      <c r="E62" s="5" t="s">
        <v>209</v>
      </c>
      <c r="F62" s="5" t="s">
        <v>65</v>
      </c>
      <c r="G62" s="5"/>
      <c r="H62" s="5" t="s">
        <v>34</v>
      </c>
    </row>
    <row r="63" customFormat="false" ht="15" hidden="false" customHeight="false" outlineLevel="0" collapsed="false">
      <c r="A63" s="4" t="s">
        <v>210</v>
      </c>
      <c r="B63" s="4" t="s">
        <v>211</v>
      </c>
      <c r="C63" s="4" t="s">
        <v>171</v>
      </c>
      <c r="D63" s="4" t="s">
        <v>13</v>
      </c>
      <c r="E63" s="4" t="s">
        <v>212</v>
      </c>
      <c r="F63" s="4" t="s">
        <v>15</v>
      </c>
      <c r="G63" s="4"/>
      <c r="H63" s="4" t="s">
        <v>34</v>
      </c>
    </row>
    <row r="64" customFormat="false" ht="15" hidden="false" customHeight="false" outlineLevel="0" collapsed="false">
      <c r="A64" s="5" t="s">
        <v>213</v>
      </c>
      <c r="B64" s="5" t="s">
        <v>214</v>
      </c>
      <c r="C64" s="5" t="s">
        <v>215</v>
      </c>
      <c r="D64" s="5" t="s">
        <v>13</v>
      </c>
      <c r="E64" s="5" t="s">
        <v>216</v>
      </c>
      <c r="F64" s="5" t="s">
        <v>15</v>
      </c>
      <c r="G64" s="5" t="s">
        <v>51</v>
      </c>
      <c r="H64" s="5" t="s">
        <v>34</v>
      </c>
    </row>
    <row r="65" customFormat="false" ht="15" hidden="false" customHeight="false" outlineLevel="0" collapsed="false">
      <c r="A65" s="4" t="s">
        <v>217</v>
      </c>
      <c r="B65" s="4" t="s">
        <v>218</v>
      </c>
      <c r="C65" s="4" t="s">
        <v>215</v>
      </c>
      <c r="D65" s="4" t="s">
        <v>13</v>
      </c>
      <c r="E65" s="4" t="s">
        <v>219</v>
      </c>
      <c r="F65" s="4" t="s">
        <v>15</v>
      </c>
      <c r="G65" s="4" t="s">
        <v>77</v>
      </c>
      <c r="H65" s="4" t="s">
        <v>34</v>
      </c>
    </row>
    <row r="66" customFormat="false" ht="15" hidden="false" customHeight="false" outlineLevel="0" collapsed="false">
      <c r="A66" s="5" t="s">
        <v>220</v>
      </c>
      <c r="B66" s="5" t="s">
        <v>221</v>
      </c>
      <c r="C66" s="5" t="s">
        <v>215</v>
      </c>
      <c r="D66" s="5" t="s">
        <v>13</v>
      </c>
      <c r="E66" s="5" t="s">
        <v>222</v>
      </c>
      <c r="F66" s="5" t="s">
        <v>15</v>
      </c>
      <c r="G66" s="5" t="s">
        <v>223</v>
      </c>
      <c r="H66" s="5" t="s">
        <v>34</v>
      </c>
    </row>
    <row r="67" customFormat="false" ht="23.85" hidden="false" customHeight="false" outlineLevel="0" collapsed="false">
      <c r="A67" s="6" t="s">
        <v>224</v>
      </c>
      <c r="B67" s="6" t="s">
        <v>225</v>
      </c>
      <c r="C67" s="6" t="s">
        <v>215</v>
      </c>
      <c r="D67" s="6" t="s">
        <v>226</v>
      </c>
      <c r="E67" s="6" t="s">
        <v>227</v>
      </c>
      <c r="F67" s="6" t="s">
        <v>228</v>
      </c>
      <c r="G67" s="6"/>
      <c r="H67" s="6" t="s">
        <v>228</v>
      </c>
    </row>
    <row r="68" customFormat="false" ht="15" hidden="false" customHeight="false" outlineLevel="0" collapsed="false">
      <c r="A68" s="5" t="s">
        <v>229</v>
      </c>
      <c r="B68" s="5" t="s">
        <v>230</v>
      </c>
      <c r="C68" s="5" t="s">
        <v>215</v>
      </c>
      <c r="D68" s="5" t="s">
        <v>13</v>
      </c>
      <c r="E68" s="5" t="s">
        <v>231</v>
      </c>
      <c r="F68" s="5" t="s">
        <v>15</v>
      </c>
      <c r="G68" s="5" t="s">
        <v>232</v>
      </c>
      <c r="H68" s="5" t="s">
        <v>34</v>
      </c>
    </row>
    <row r="69" customFormat="false" ht="15" hidden="false" customHeight="false" outlineLevel="0" collapsed="false">
      <c r="A69" s="4" t="s">
        <v>233</v>
      </c>
      <c r="B69" s="4" t="s">
        <v>234</v>
      </c>
      <c r="C69" s="4" t="s">
        <v>215</v>
      </c>
      <c r="D69" s="4" t="s">
        <v>13</v>
      </c>
      <c r="E69" s="4" t="s">
        <v>235</v>
      </c>
      <c r="F69" s="4" t="s">
        <v>65</v>
      </c>
      <c r="G69" s="4"/>
      <c r="H69" s="4" t="s">
        <v>34</v>
      </c>
    </row>
    <row r="70" customFormat="false" ht="23.85" hidden="false" customHeight="false" outlineLevel="0" collapsed="false">
      <c r="A70" s="5" t="s">
        <v>236</v>
      </c>
      <c r="B70" s="5" t="s">
        <v>237</v>
      </c>
      <c r="C70" s="5" t="s">
        <v>215</v>
      </c>
      <c r="D70" s="5" t="s">
        <v>13</v>
      </c>
      <c r="E70" s="5" t="s">
        <v>238</v>
      </c>
      <c r="F70" s="5" t="s">
        <v>65</v>
      </c>
      <c r="G70" s="5" t="s">
        <v>119</v>
      </c>
      <c r="H70" s="5" t="s">
        <v>34</v>
      </c>
    </row>
    <row r="71" customFormat="false" ht="23.85" hidden="false" customHeight="false" outlineLevel="0" collapsed="false">
      <c r="A71" s="4" t="s">
        <v>239</v>
      </c>
      <c r="B71" s="4" t="s">
        <v>240</v>
      </c>
      <c r="C71" s="4" t="s">
        <v>215</v>
      </c>
      <c r="D71" s="4" t="s">
        <v>13</v>
      </c>
      <c r="E71" s="4" t="s">
        <v>241</v>
      </c>
      <c r="F71" s="4" t="s">
        <v>15</v>
      </c>
      <c r="G71" s="4" t="s">
        <v>242</v>
      </c>
      <c r="H71" s="4" t="s">
        <v>34</v>
      </c>
    </row>
    <row r="72" customFormat="false" ht="15" hidden="false" customHeight="false" outlineLevel="0" collapsed="false">
      <c r="A72" s="5" t="s">
        <v>243</v>
      </c>
      <c r="B72" s="5" t="s">
        <v>244</v>
      </c>
      <c r="C72" s="5" t="s">
        <v>215</v>
      </c>
      <c r="D72" s="5" t="s">
        <v>13</v>
      </c>
      <c r="E72" s="5" t="s">
        <v>245</v>
      </c>
      <c r="F72" s="5" t="s">
        <v>15</v>
      </c>
      <c r="G72" s="5" t="s">
        <v>77</v>
      </c>
      <c r="H72" s="5" t="s">
        <v>34</v>
      </c>
    </row>
    <row r="73" customFormat="false" ht="23.85" hidden="false" customHeight="false" outlineLevel="0" collapsed="false">
      <c r="A73" s="4" t="s">
        <v>246</v>
      </c>
      <c r="B73" s="4" t="s">
        <v>247</v>
      </c>
      <c r="C73" s="4" t="s">
        <v>215</v>
      </c>
      <c r="D73" s="4" t="s">
        <v>13</v>
      </c>
      <c r="E73" s="4" t="s">
        <v>248</v>
      </c>
      <c r="F73" s="4" t="s">
        <v>15</v>
      </c>
      <c r="G73" s="4"/>
      <c r="H73" s="4" t="s">
        <v>34</v>
      </c>
    </row>
    <row r="74" customFormat="false" ht="23.85" hidden="false" customHeight="false" outlineLevel="0" collapsed="false">
      <c r="A74" s="6" t="s">
        <v>249</v>
      </c>
      <c r="B74" s="6" t="s">
        <v>250</v>
      </c>
      <c r="C74" s="6" t="s">
        <v>215</v>
      </c>
      <c r="D74" s="6" t="s">
        <v>226</v>
      </c>
      <c r="E74" s="6" t="s">
        <v>251</v>
      </c>
      <c r="F74" s="6" t="s">
        <v>228</v>
      </c>
      <c r="G74" s="6"/>
      <c r="H74" s="6" t="s">
        <v>228</v>
      </c>
    </row>
    <row r="75" customFormat="false" ht="23.85" hidden="false" customHeight="false" outlineLevel="0" collapsed="false">
      <c r="A75" s="4" t="s">
        <v>252</v>
      </c>
      <c r="B75" s="4" t="s">
        <v>253</v>
      </c>
      <c r="C75" s="4" t="s">
        <v>215</v>
      </c>
      <c r="D75" s="4" t="s">
        <v>13</v>
      </c>
      <c r="E75" s="4" t="s">
        <v>254</v>
      </c>
      <c r="F75" s="4" t="s">
        <v>15</v>
      </c>
      <c r="G75" s="4" t="s">
        <v>255</v>
      </c>
      <c r="H75" s="4" t="s">
        <v>34</v>
      </c>
    </row>
    <row r="76" customFormat="false" ht="15" hidden="false" customHeight="false" outlineLevel="0" collapsed="false">
      <c r="A76" s="5" t="s">
        <v>256</v>
      </c>
      <c r="B76" s="5" t="s">
        <v>257</v>
      </c>
      <c r="C76" s="5" t="s">
        <v>215</v>
      </c>
      <c r="D76" s="5" t="s">
        <v>13</v>
      </c>
      <c r="E76" s="5" t="s">
        <v>258</v>
      </c>
      <c r="F76" s="5" t="s">
        <v>65</v>
      </c>
      <c r="G76" s="5" t="s">
        <v>119</v>
      </c>
      <c r="H76" s="5" t="s">
        <v>34</v>
      </c>
    </row>
    <row r="77" customFormat="false" ht="23.85" hidden="false" customHeight="false" outlineLevel="0" collapsed="false">
      <c r="A77" s="4" t="s">
        <v>259</v>
      </c>
      <c r="B77" s="4" t="s">
        <v>260</v>
      </c>
      <c r="C77" s="4" t="s">
        <v>215</v>
      </c>
      <c r="D77" s="4" t="s">
        <v>13</v>
      </c>
      <c r="E77" s="4" t="s">
        <v>261</v>
      </c>
      <c r="F77" s="4" t="s">
        <v>15</v>
      </c>
      <c r="G77" s="4"/>
      <c r="H77" s="4" t="s">
        <v>34</v>
      </c>
    </row>
    <row r="78" customFormat="false" ht="15" hidden="false" customHeight="false" outlineLevel="0" collapsed="false">
      <c r="A78" s="5" t="s">
        <v>262</v>
      </c>
      <c r="B78" s="5" t="s">
        <v>263</v>
      </c>
      <c r="C78" s="5" t="s">
        <v>215</v>
      </c>
      <c r="D78" s="5" t="s">
        <v>13</v>
      </c>
      <c r="E78" s="5" t="s">
        <v>264</v>
      </c>
      <c r="F78" s="5" t="s">
        <v>15</v>
      </c>
      <c r="G78" s="5" t="s">
        <v>265</v>
      </c>
      <c r="H78" s="5" t="s">
        <v>34</v>
      </c>
    </row>
    <row r="79" customFormat="false" ht="23.85" hidden="false" customHeight="false" outlineLevel="0" collapsed="false">
      <c r="A79" s="4" t="s">
        <v>266</v>
      </c>
      <c r="B79" s="4" t="s">
        <v>267</v>
      </c>
      <c r="C79" s="4" t="s">
        <v>215</v>
      </c>
      <c r="D79" s="4" t="s">
        <v>13</v>
      </c>
      <c r="E79" s="4" t="s">
        <v>268</v>
      </c>
      <c r="F79" s="4" t="s">
        <v>15</v>
      </c>
      <c r="G79" s="4"/>
      <c r="H79" s="4" t="s">
        <v>34</v>
      </c>
    </row>
    <row r="80" customFormat="false" ht="23.85" hidden="false" customHeight="false" outlineLevel="0" collapsed="false">
      <c r="A80" s="5" t="s">
        <v>269</v>
      </c>
      <c r="B80" s="5" t="s">
        <v>270</v>
      </c>
      <c r="C80" s="5" t="s">
        <v>215</v>
      </c>
      <c r="D80" s="5" t="s">
        <v>13</v>
      </c>
      <c r="E80" s="5" t="s">
        <v>271</v>
      </c>
      <c r="F80" s="5" t="s">
        <v>15</v>
      </c>
      <c r="G80" s="5"/>
      <c r="H80" s="5" t="s">
        <v>34</v>
      </c>
    </row>
    <row r="81" customFormat="false" ht="15" hidden="false" customHeight="false" outlineLevel="0" collapsed="false">
      <c r="A81" s="4" t="s">
        <v>272</v>
      </c>
      <c r="B81" s="4" t="s">
        <v>273</v>
      </c>
      <c r="C81" s="4" t="s">
        <v>215</v>
      </c>
      <c r="D81" s="4" t="s">
        <v>13</v>
      </c>
      <c r="E81" s="4" t="s">
        <v>274</v>
      </c>
      <c r="F81" s="4" t="s">
        <v>15</v>
      </c>
      <c r="G81" s="4"/>
      <c r="H81" s="4" t="s">
        <v>34</v>
      </c>
    </row>
    <row r="82" customFormat="false" ht="23.85" hidden="false" customHeight="false" outlineLevel="0" collapsed="false">
      <c r="A82" s="5" t="s">
        <v>275</v>
      </c>
      <c r="B82" s="5" t="s">
        <v>276</v>
      </c>
      <c r="C82" s="5" t="s">
        <v>215</v>
      </c>
      <c r="D82" s="5" t="s">
        <v>13</v>
      </c>
      <c r="E82" s="5" t="s">
        <v>277</v>
      </c>
      <c r="F82" s="5" t="s">
        <v>15</v>
      </c>
      <c r="G82" s="5"/>
      <c r="H82" s="5" t="s">
        <v>34</v>
      </c>
    </row>
    <row r="83" customFormat="false" ht="15" hidden="false" customHeight="false" outlineLevel="0" collapsed="false">
      <c r="A83" s="4" t="s">
        <v>278</v>
      </c>
      <c r="B83" s="4" t="s">
        <v>279</v>
      </c>
      <c r="C83" s="4" t="s">
        <v>215</v>
      </c>
      <c r="D83" s="4" t="s">
        <v>13</v>
      </c>
      <c r="E83" s="4" t="s">
        <v>280</v>
      </c>
      <c r="F83" s="4" t="s">
        <v>15</v>
      </c>
      <c r="G83" s="4" t="s">
        <v>281</v>
      </c>
      <c r="H83" s="4" t="s">
        <v>34</v>
      </c>
    </row>
    <row r="84" customFormat="false" ht="15" hidden="false" customHeight="false" outlineLevel="0" collapsed="false">
      <c r="A84" s="5" t="s">
        <v>282</v>
      </c>
      <c r="B84" s="5" t="s">
        <v>283</v>
      </c>
      <c r="C84" s="5" t="s">
        <v>215</v>
      </c>
      <c r="D84" s="5" t="s">
        <v>13</v>
      </c>
      <c r="E84" s="5" t="s">
        <v>284</v>
      </c>
      <c r="F84" s="5" t="s">
        <v>15</v>
      </c>
      <c r="G84" s="5" t="s">
        <v>285</v>
      </c>
      <c r="H84" s="5" t="s">
        <v>34</v>
      </c>
    </row>
    <row r="85" customFormat="false" ht="15" hidden="false" customHeight="false" outlineLevel="0" collapsed="false">
      <c r="A85" s="4" t="s">
        <v>286</v>
      </c>
      <c r="B85" s="4" t="s">
        <v>287</v>
      </c>
      <c r="C85" s="4" t="s">
        <v>215</v>
      </c>
      <c r="D85" s="4" t="s">
        <v>13</v>
      </c>
      <c r="E85" s="4" t="s">
        <v>288</v>
      </c>
      <c r="F85" s="4" t="s">
        <v>15</v>
      </c>
      <c r="G85" s="4" t="s">
        <v>281</v>
      </c>
      <c r="H85" s="4" t="s">
        <v>34</v>
      </c>
    </row>
    <row r="86" customFormat="false" ht="15" hidden="false" customHeight="false" outlineLevel="0" collapsed="false">
      <c r="A86" s="5" t="s">
        <v>289</v>
      </c>
      <c r="B86" s="5" t="s">
        <v>290</v>
      </c>
      <c r="C86" s="5" t="s">
        <v>215</v>
      </c>
      <c r="D86" s="5" t="s">
        <v>13</v>
      </c>
      <c r="E86" s="5" t="s">
        <v>291</v>
      </c>
      <c r="F86" s="5" t="s">
        <v>15</v>
      </c>
      <c r="G86" s="5" t="s">
        <v>152</v>
      </c>
      <c r="H86" s="5" t="s">
        <v>34</v>
      </c>
    </row>
    <row r="87" customFormat="false" ht="23.85" hidden="false" customHeight="false" outlineLevel="0" collapsed="false">
      <c r="A87" s="4" t="s">
        <v>292</v>
      </c>
      <c r="B87" s="4" t="s">
        <v>293</v>
      </c>
      <c r="C87" s="4" t="s">
        <v>215</v>
      </c>
      <c r="D87" s="4" t="s">
        <v>13</v>
      </c>
      <c r="E87" s="4" t="s">
        <v>294</v>
      </c>
      <c r="F87" s="4" t="s">
        <v>15</v>
      </c>
      <c r="G87" s="4" t="s">
        <v>295</v>
      </c>
      <c r="H87" s="4" t="s">
        <v>34</v>
      </c>
    </row>
    <row r="88" customFormat="false" ht="15" hidden="false" customHeight="false" outlineLevel="0" collapsed="false">
      <c r="A88" s="6" t="s">
        <v>296</v>
      </c>
      <c r="B88" s="6" t="s">
        <v>297</v>
      </c>
      <c r="C88" s="6" t="s">
        <v>215</v>
      </c>
      <c r="D88" s="6" t="s">
        <v>226</v>
      </c>
      <c r="E88" s="6" t="s">
        <v>298</v>
      </c>
      <c r="F88" s="6" t="s">
        <v>228</v>
      </c>
      <c r="G88" s="6"/>
      <c r="H88" s="6" t="s">
        <v>228</v>
      </c>
    </row>
    <row r="89" customFormat="false" ht="23.85" hidden="false" customHeight="false" outlineLevel="0" collapsed="false">
      <c r="A89" s="6" t="s">
        <v>299</v>
      </c>
      <c r="B89" s="6" t="s">
        <v>300</v>
      </c>
      <c r="C89" s="6" t="s">
        <v>215</v>
      </c>
      <c r="D89" s="6" t="s">
        <v>226</v>
      </c>
      <c r="E89" s="6" t="s">
        <v>301</v>
      </c>
      <c r="F89" s="6" t="s">
        <v>228</v>
      </c>
      <c r="G89" s="6"/>
      <c r="H89" s="6" t="s">
        <v>228</v>
      </c>
    </row>
    <row r="90" customFormat="false" ht="23.85" hidden="false" customHeight="false" outlineLevel="0" collapsed="false">
      <c r="A90" s="6" t="s">
        <v>302</v>
      </c>
      <c r="B90" s="6" t="s">
        <v>303</v>
      </c>
      <c r="C90" s="6" t="s">
        <v>215</v>
      </c>
      <c r="D90" s="6" t="s">
        <v>226</v>
      </c>
      <c r="E90" s="6" t="s">
        <v>304</v>
      </c>
      <c r="F90" s="6" t="s">
        <v>228</v>
      </c>
      <c r="G90" s="6"/>
      <c r="H90" s="6" t="s">
        <v>228</v>
      </c>
    </row>
    <row r="91" customFormat="false" ht="15" hidden="false" customHeight="false" outlineLevel="0" collapsed="false">
      <c r="A91" s="6" t="s">
        <v>305</v>
      </c>
      <c r="B91" s="6" t="s">
        <v>306</v>
      </c>
      <c r="C91" s="6" t="s">
        <v>215</v>
      </c>
      <c r="D91" s="6" t="s">
        <v>226</v>
      </c>
      <c r="E91" s="6" t="s">
        <v>307</v>
      </c>
      <c r="F91" s="6" t="s">
        <v>228</v>
      </c>
      <c r="G91" s="6"/>
      <c r="H91" s="6" t="s">
        <v>228</v>
      </c>
    </row>
    <row r="92" customFormat="false" ht="23.85" hidden="false" customHeight="false" outlineLevel="0" collapsed="false">
      <c r="A92" s="6" t="s">
        <v>308</v>
      </c>
      <c r="B92" s="6" t="s">
        <v>309</v>
      </c>
      <c r="C92" s="6" t="s">
        <v>215</v>
      </c>
      <c r="D92" s="6" t="s">
        <v>226</v>
      </c>
      <c r="E92" s="6" t="s">
        <v>310</v>
      </c>
      <c r="F92" s="6" t="s">
        <v>228</v>
      </c>
      <c r="G92" s="6"/>
      <c r="H92" s="6" t="s">
        <v>228</v>
      </c>
    </row>
    <row r="93" customFormat="false" ht="23.85" hidden="false" customHeight="false" outlineLevel="0" collapsed="false">
      <c r="A93" s="6" t="s">
        <v>311</v>
      </c>
      <c r="B93" s="6" t="s">
        <v>312</v>
      </c>
      <c r="C93" s="6" t="s">
        <v>215</v>
      </c>
      <c r="D93" s="6" t="s">
        <v>226</v>
      </c>
      <c r="E93" s="6" t="s">
        <v>313</v>
      </c>
      <c r="F93" s="6" t="s">
        <v>228</v>
      </c>
      <c r="G93" s="6"/>
      <c r="H93" s="6" t="s">
        <v>228</v>
      </c>
    </row>
    <row r="94" customFormat="false" ht="23.85" hidden="false" customHeight="false" outlineLevel="0" collapsed="false">
      <c r="A94" s="6" t="s">
        <v>314</v>
      </c>
      <c r="B94" s="6" t="s">
        <v>315</v>
      </c>
      <c r="C94" s="6" t="s">
        <v>215</v>
      </c>
      <c r="D94" s="6" t="s">
        <v>226</v>
      </c>
      <c r="E94" s="6" t="s">
        <v>316</v>
      </c>
      <c r="F94" s="6" t="s">
        <v>228</v>
      </c>
      <c r="G94" s="6"/>
      <c r="H94" s="6" t="s">
        <v>228</v>
      </c>
    </row>
    <row r="95" customFormat="false" ht="23.85" hidden="false" customHeight="false" outlineLevel="0" collapsed="false">
      <c r="A95" s="4" t="s">
        <v>317</v>
      </c>
      <c r="B95" s="4" t="s">
        <v>318</v>
      </c>
      <c r="C95" s="4" t="s">
        <v>215</v>
      </c>
      <c r="D95" s="4" t="s">
        <v>13</v>
      </c>
      <c r="E95" s="4" t="s">
        <v>319</v>
      </c>
      <c r="F95" s="4" t="s">
        <v>15</v>
      </c>
      <c r="G95" s="4"/>
      <c r="H95" s="4" t="s">
        <v>34</v>
      </c>
    </row>
    <row r="96" customFormat="false" ht="15" hidden="false" customHeight="false" outlineLevel="0" collapsed="false">
      <c r="A96" s="6" t="s">
        <v>320</v>
      </c>
      <c r="B96" s="6" t="s">
        <v>321</v>
      </c>
      <c r="C96" s="6" t="s">
        <v>215</v>
      </c>
      <c r="D96" s="6" t="s">
        <v>226</v>
      </c>
      <c r="E96" s="6" t="s">
        <v>322</v>
      </c>
      <c r="F96" s="6" t="s">
        <v>228</v>
      </c>
      <c r="G96" s="6"/>
      <c r="H96" s="6" t="s">
        <v>228</v>
      </c>
    </row>
    <row r="97" customFormat="false" ht="23.85" hidden="false" customHeight="false" outlineLevel="0" collapsed="false">
      <c r="A97" s="4" t="s">
        <v>323</v>
      </c>
      <c r="B97" s="4" t="s">
        <v>324</v>
      </c>
      <c r="C97" s="4" t="s">
        <v>215</v>
      </c>
      <c r="D97" s="4" t="s">
        <v>13</v>
      </c>
      <c r="E97" s="4" t="s">
        <v>325</v>
      </c>
      <c r="F97" s="4" t="s">
        <v>15</v>
      </c>
      <c r="G97" s="4"/>
      <c r="H97" s="4" t="s">
        <v>34</v>
      </c>
    </row>
  </sheetData>
  <mergeCells count="2">
    <mergeCell ref="A1:H1"/>
    <mergeCell ref="A2:H2"/>
  </mergeCells>
  <dataValidations count="2">
    <dataValidation allowBlank="false" errorStyle="stop" operator="between" showDropDown="false" showErrorMessage="false" showInputMessage="false" sqref="D5:D97" type="list">
      <formula1>"Yes,No,Partial"</formula1>
      <formula2>0</formula2>
    </dataValidation>
    <dataValidation allowBlank="false" errorStyle="stop" operator="between" showDropDown="false" showErrorMessage="false" showInputMessage="false" sqref="F5:F97" type="list">
      <formula1>"Implemented,Partial,Planned,Not Implemented,N/A"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19.7" hidden="false" customHeight="false" outlineLevel="0" collapsed="false">
      <c r="A1" s="1" t="s">
        <v>326</v>
      </c>
      <c r="B1" s="1"/>
      <c r="C1" s="1"/>
      <c r="D1" s="1"/>
      <c r="E1" s="1"/>
    </row>
    <row r="3" customFormat="false" ht="15" hidden="false" customHeight="false" outlineLevel="0" collapsed="false">
      <c r="A3" s="7" t="s">
        <v>4</v>
      </c>
      <c r="B3" s="7" t="s">
        <v>327</v>
      </c>
      <c r="C3" s="7" t="s">
        <v>5</v>
      </c>
      <c r="D3" s="7" t="s">
        <v>328</v>
      </c>
      <c r="E3" s="7" t="s">
        <v>329</v>
      </c>
    </row>
    <row r="4" customFormat="false" ht="15" hidden="false" customHeight="false" outlineLevel="0" collapsed="false">
      <c r="A4" s="8" t="s">
        <v>12</v>
      </c>
      <c r="B4" s="9" t="n">
        <f aca="false">COUNTIF('Statement of Applicability'!C5:C97,A4)</f>
        <v>37</v>
      </c>
      <c r="C4" s="9" t="n">
        <f aca="false">COUNTIFS('Statement of Applicability'!C5:C97,A4,'Statement of Applicability'!D5:D97,"Yes")</f>
        <v>37</v>
      </c>
      <c r="D4" s="9" t="n">
        <f aca="false">COUNTIFS('Statement of Applicability'!C5:C97,A4,'Statement of Applicability'!D5:D97,"No")</f>
        <v>0</v>
      </c>
      <c r="E4" s="10" t="n">
        <f aca="false">C4/B4</f>
        <v>1</v>
      </c>
    </row>
    <row r="5" customFormat="false" ht="15" hidden="false" customHeight="false" outlineLevel="0" collapsed="false">
      <c r="A5" s="8" t="s">
        <v>144</v>
      </c>
      <c r="B5" s="9" t="n">
        <f aca="false">COUNTIF('Statement of Applicability'!C5:C97,A5)</f>
        <v>8</v>
      </c>
      <c r="C5" s="9" t="n">
        <f aca="false">COUNTIFS('Statement of Applicability'!C5:C97,A5,'Statement of Applicability'!D5:D97,"Yes")</f>
        <v>8</v>
      </c>
      <c r="D5" s="9" t="n">
        <f aca="false">COUNTIFS('Statement of Applicability'!C5:C97,A5,'Statement of Applicability'!D5:D97,"No")</f>
        <v>0</v>
      </c>
      <c r="E5" s="10" t="n">
        <f aca="false">C5/B5</f>
        <v>1</v>
      </c>
    </row>
    <row r="6" customFormat="false" ht="15" hidden="false" customHeight="false" outlineLevel="0" collapsed="false">
      <c r="A6" s="8" t="s">
        <v>171</v>
      </c>
      <c r="B6" s="9" t="n">
        <f aca="false">COUNTIF('Statement of Applicability'!C5:C97,A6)</f>
        <v>14</v>
      </c>
      <c r="C6" s="9" t="n">
        <f aca="false">COUNTIFS('Statement of Applicability'!C5:C97,A6,'Statement of Applicability'!D5:D97,"Yes")</f>
        <v>14</v>
      </c>
      <c r="D6" s="9" t="n">
        <f aca="false">COUNTIFS('Statement of Applicability'!C5:C97,A6,'Statement of Applicability'!D5:D97,"No")</f>
        <v>0</v>
      </c>
      <c r="E6" s="10" t="n">
        <f aca="false">C6/B6</f>
        <v>1</v>
      </c>
    </row>
    <row r="7" customFormat="false" ht="15" hidden="false" customHeight="false" outlineLevel="0" collapsed="false">
      <c r="A7" s="8" t="s">
        <v>215</v>
      </c>
      <c r="B7" s="9" t="n">
        <f aca="false">COUNTIF('Statement of Applicability'!C5:C97,A7)</f>
        <v>34</v>
      </c>
      <c r="C7" s="9" t="n">
        <f aca="false">COUNTIFS('Statement of Applicability'!C5:C97,A7,'Statement of Applicability'!D5:D97,"Yes")</f>
        <v>24</v>
      </c>
      <c r="D7" s="9" t="n">
        <f aca="false">COUNTIFS('Statement of Applicability'!C5:C97,A7,'Statement of Applicability'!D5:D97,"No")</f>
        <v>10</v>
      </c>
      <c r="E7" s="10" t="n">
        <f aca="false">C7/B7</f>
        <v>0.705882352941177</v>
      </c>
    </row>
    <row r="8" customFormat="false" ht="15" hidden="false" customHeight="false" outlineLevel="0" collapsed="false">
      <c r="A8" s="11" t="s">
        <v>330</v>
      </c>
      <c r="B8" s="11" t="n">
        <f aca="false">SUM(B4:B7)</f>
        <v>93</v>
      </c>
      <c r="C8" s="11" t="n">
        <f aca="false">SUM(C4:C7)</f>
        <v>83</v>
      </c>
      <c r="D8" s="11" t="n">
        <f aca="false">SUM(D4:D7)</f>
        <v>10</v>
      </c>
      <c r="E8" s="12" t="n">
        <f aca="false">C8/B8</f>
        <v>0.89247311827957</v>
      </c>
    </row>
    <row r="10" customFormat="false" ht="15" hidden="false" customHeight="false" outlineLevel="0" collapsed="false">
      <c r="A10" s="13" t="s">
        <v>331</v>
      </c>
    </row>
    <row r="11" customFormat="false" ht="15" hidden="false" customHeight="false" outlineLevel="0" collapsed="false">
      <c r="A11" s="14" t="s">
        <v>173</v>
      </c>
      <c r="B11" s="14" t="n">
        <f aca="false">COUNTIF('Statement of Applicability'!F5:F97,A11)</f>
        <v>3</v>
      </c>
    </row>
    <row r="12" customFormat="false" ht="15" hidden="false" customHeight="false" outlineLevel="0" collapsed="false">
      <c r="A12" s="14" t="s">
        <v>65</v>
      </c>
      <c r="B12" s="14" t="n">
        <f aca="false">COUNTIF('Statement of Applicability'!F5:F97,A12)</f>
        <v>9</v>
      </c>
    </row>
    <row r="13" customFormat="false" ht="15" hidden="false" customHeight="false" outlineLevel="0" collapsed="false">
      <c r="A13" s="14" t="s">
        <v>15</v>
      </c>
      <c r="B13" s="14" t="n">
        <f aca="false">COUNTIF('Statement of Applicability'!F5:F97,A13)</f>
        <v>70</v>
      </c>
    </row>
    <row r="14" customFormat="false" ht="15" hidden="false" customHeight="false" outlineLevel="0" collapsed="false">
      <c r="A14" s="14" t="s">
        <v>135</v>
      </c>
      <c r="B14" s="14" t="n">
        <f aca="false">COUNTIF('Statement of Applicability'!F5:F97,A14)</f>
        <v>1</v>
      </c>
    </row>
    <row r="15" customFormat="false" ht="15" hidden="false" customHeight="false" outlineLevel="0" collapsed="false">
      <c r="A15" s="14" t="s">
        <v>228</v>
      </c>
      <c r="B15" s="14" t="n">
        <f aca="false">COUNTIF('Statement of Applicability'!F5:F97,A15)</f>
        <v>10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90"/>
  </cols>
  <sheetData>
    <row r="1" customFormat="false" ht="19.7" hidden="false" customHeight="false" outlineLevel="0" collapsed="false">
      <c r="B1" s="1" t="s">
        <v>332</v>
      </c>
      <c r="C1" s="1"/>
    </row>
    <row r="3" customFormat="false" ht="15" hidden="false" customHeight="false" outlineLevel="0" collapsed="false">
      <c r="B3" s="15" t="s">
        <v>333</v>
      </c>
      <c r="C3" s="16"/>
    </row>
    <row r="4" customFormat="false" ht="69.75" hidden="false" customHeight="true" outlineLevel="0" collapsed="false">
      <c r="B4" s="17" t="s">
        <v>334</v>
      </c>
      <c r="C4" s="17"/>
    </row>
    <row r="6" customFormat="false" ht="15" hidden="false" customHeight="false" outlineLevel="0" collapsed="false">
      <c r="B6" s="15" t="s">
        <v>335</v>
      </c>
      <c r="C6" s="16"/>
    </row>
    <row r="7" customFormat="false" ht="69.75" hidden="false" customHeight="true" outlineLevel="0" collapsed="false">
      <c r="B7" s="17" t="s">
        <v>336</v>
      </c>
      <c r="C7" s="17"/>
    </row>
    <row r="9" customFormat="false" ht="15" hidden="false" customHeight="false" outlineLevel="0" collapsed="false">
      <c r="B9" s="15" t="s">
        <v>337</v>
      </c>
      <c r="C9" s="16"/>
    </row>
    <row r="10" customFormat="false" ht="69.75" hidden="false" customHeight="true" outlineLevel="0" collapsed="false">
      <c r="B10" s="17" t="s">
        <v>338</v>
      </c>
      <c r="C10" s="17"/>
    </row>
    <row r="12" customFormat="false" ht="15" hidden="false" customHeight="false" outlineLevel="0" collapsed="false">
      <c r="B12" s="15" t="s">
        <v>339</v>
      </c>
      <c r="C12" s="16"/>
    </row>
    <row r="13" customFormat="false" ht="69.75" hidden="false" customHeight="true" outlineLevel="0" collapsed="false">
      <c r="B13" s="17" t="s">
        <v>340</v>
      </c>
      <c r="C13" s="17"/>
    </row>
    <row r="15" customFormat="false" ht="15" hidden="false" customHeight="false" outlineLevel="0" collapsed="false">
      <c r="B15" s="15" t="s">
        <v>341</v>
      </c>
      <c r="C15" s="16"/>
    </row>
    <row r="16" customFormat="false" ht="69.75" hidden="false" customHeight="true" outlineLevel="0" collapsed="false">
      <c r="B16" s="17" t="s">
        <v>342</v>
      </c>
      <c r="C16" s="17"/>
    </row>
    <row r="18" customFormat="false" ht="15" hidden="false" customHeight="false" outlineLevel="0" collapsed="false">
      <c r="B18" s="15" t="s">
        <v>343</v>
      </c>
      <c r="C18" s="16"/>
    </row>
    <row r="19" customFormat="false" ht="69.75" hidden="false" customHeight="true" outlineLevel="0" collapsed="false">
      <c r="B19" s="17" t="s">
        <v>344</v>
      </c>
      <c r="C19" s="17"/>
    </row>
  </sheetData>
  <mergeCells count="7">
    <mergeCell ref="B1:C1"/>
    <mergeCell ref="B4:C4"/>
    <mergeCell ref="B7:C7"/>
    <mergeCell ref="B10:C10"/>
    <mergeCell ref="B13:C13"/>
    <mergeCell ref="B16:C16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2026-08-17T00:13:55Z</dcterms:created>
  <dc:creator>openpyxl</dc:creator>
  <dc:description/>
  <dc:language>en-US</dc:language>
  <cp:lastModifiedBy/>
  <dcterms:modified xsi:type="dcterms:W3CDTF">2026-08-17T00:13:56Z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