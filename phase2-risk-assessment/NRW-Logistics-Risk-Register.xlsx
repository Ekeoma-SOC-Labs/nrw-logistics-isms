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Methodology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Asset Value: the estimated financial value of the asset if lost, including replacement cost and business impact.</t>
        </r>
      </text>
    </comment>
    <comment ref="G4" authorId="0">
      <text>
        <r>
          <rPr>
            <sz val="10"/>
            <rFont val="Arial"/>
            <family val="2"/>
          </rPr>
          <t xml:space="preserve">Exposure Factor: the percentage of asset value that would realistically be lost in a single incident, not always 100%.</t>
        </r>
      </text>
    </comment>
    <comment ref="H4" authorId="0">
      <text>
        <r>
          <rPr>
            <sz val="10"/>
            <rFont val="Arial"/>
            <family val="2"/>
          </rPr>
          <t xml:space="preserve">Single Loss Expectancy = Asset Value x Exposure Factor. The expected cost of ONE occurrence.</t>
        </r>
      </text>
    </comment>
    <comment ref="I4" authorId="0">
      <text>
        <r>
          <rPr>
            <sz val="10"/>
            <rFont val="Arial"/>
            <family val="2"/>
          </rPr>
          <t xml:space="preserve">Annualized Rate of Occurrence: how many times per year this risk is expected to materialize, based on threat intelligence, incident history, or industry benchmarks.</t>
        </r>
      </text>
    </comment>
    <comment ref="J4" authorId="0">
      <text>
        <r>
          <rPr>
            <sz val="10"/>
            <rFont val="Arial"/>
            <family val="2"/>
          </rPr>
          <t xml:space="preserve">Annualized Loss Expectancy = SLE x ARO. The expected yearly financial impact — this is what risk appetite and budget decisions should be based on, not the raw SLE.</t>
        </r>
      </text>
    </comment>
  </commentList>
</comments>
</file>

<file path=xl/sharedStrings.xml><?xml version="1.0" encoding="utf-8"?>
<sst xmlns="http://schemas.openxmlformats.org/spreadsheetml/2006/main" count="158" uniqueCount="125">
  <si>
    <t xml:space="preserve">NRW Logistics GmbH — ISMS Risk Register</t>
  </si>
  <si>
    <t xml:space="preserve">ISO/IEC 27001:2022 Clause 6.1.2 — Quantitative risk assessment (SLE x ARO methodology). See 'Methodology &amp; Notes' tab.</t>
  </si>
  <si>
    <t xml:space="preserve">Risk ID</t>
  </si>
  <si>
    <t xml:space="preserve">Asset / Process</t>
  </si>
  <si>
    <t xml:space="preserve">Threat</t>
  </si>
  <si>
    <t xml:space="preserve">Vulnerability</t>
  </si>
  <si>
    <t xml:space="preserve">Existing Controls</t>
  </si>
  <si>
    <t xml:space="preserve">Asset Value AV (EUR)</t>
  </si>
  <si>
    <t xml:space="preserve">Exposure Factor EF (%)</t>
  </si>
  <si>
    <t xml:space="preserve">SLE (EUR)</t>
  </si>
  <si>
    <t xml:space="preserve">ARO (per year)</t>
  </si>
  <si>
    <t xml:space="preserve">ALE (EUR)</t>
  </si>
  <si>
    <t xml:space="preserve">Inherent Risk Rating</t>
  </si>
  <si>
    <t xml:space="preserve">Risk Treatment Decision</t>
  </si>
  <si>
    <t xml:space="preserve">Treatment / Recommended Control</t>
  </si>
  <si>
    <t xml:space="preserve">Residual EF (%)</t>
  </si>
  <si>
    <t xml:space="preserve">Residual SLE (EUR)</t>
  </si>
  <si>
    <t xml:space="preserve">Residual ARO</t>
  </si>
  <si>
    <t xml:space="preserve">Residual ALE (EUR)</t>
  </si>
  <si>
    <t xml:space="preserve">Residual Risk Rating</t>
  </si>
  <si>
    <t xml:space="preserve">Risk Owner</t>
  </si>
  <si>
    <t xml:space="preserve">Status</t>
  </si>
  <si>
    <t xml:space="preserve">Review Date</t>
  </si>
  <si>
    <t xml:space="preserve">R-001</t>
  </si>
  <si>
    <t xml:space="preserve">HQ network — email</t>
  </si>
  <si>
    <t xml:space="preserve">Phishing leading to credential compromise</t>
  </si>
  <si>
    <t xml:space="preserve">No email filtering beyond default spam rules; users not trained on phishing recognition</t>
  </si>
  <si>
    <t xml:space="preserve">Basic spam filter only</t>
  </si>
  <si>
    <t xml:space="preserve">Mitigate</t>
  </si>
  <si>
    <t xml:space="preserve">Deploy advanced email filtering (attachment/URL sandboxing); run quarterly phishing simulation and awareness training</t>
  </si>
  <si>
    <t xml:space="preserve">IT Manager</t>
  </si>
  <si>
    <t xml:space="preserve">Open</t>
  </si>
  <si>
    <t xml:space="preserve">2026-11-01</t>
  </si>
  <si>
    <t xml:space="preserve">R-002</t>
  </si>
  <si>
    <t xml:space="preserve">Warehouse WMS</t>
  </si>
  <si>
    <t xml:space="preserve">Ransomware infection on WMS server</t>
  </si>
  <si>
    <t xml:space="preserve">WMS server not network-segmented from general office LAN; irregular patching cadence</t>
  </si>
  <si>
    <t xml:space="preserve">Nightly backups (untested restore)</t>
  </si>
  <si>
    <t xml:space="preserve">Segment WMS on isolated VLAN; enforce monthly patch cycle; test backup restoration quarterly</t>
  </si>
  <si>
    <t xml:space="preserve">Warehouse Ops Lead</t>
  </si>
  <si>
    <t xml:space="preserve">2026-10-15</t>
  </si>
  <si>
    <t xml:space="preserve">R-003</t>
  </si>
  <si>
    <t xml:space="preserve">Fleet telematics</t>
  </si>
  <si>
    <t xml:space="preserve">Remote exploitation of unpatched telematics platform</t>
  </si>
  <si>
    <t xml:space="preserve">Vendor firmware updates applied irregularly; platform exposed to internet for remote tracking</t>
  </si>
  <si>
    <t xml:space="preserve">Vendor-managed authentication only</t>
  </si>
  <si>
    <t xml:space="preserve">Enforce vendor SLA for patch timelines; restrict platform access via IP allow-listing and VPN</t>
  </si>
  <si>
    <t xml:space="preserve">Fleet Operations Manager</t>
  </si>
  <si>
    <t xml:space="preserve">2026-11-15</t>
  </si>
  <si>
    <t xml:space="preserve">R-004</t>
  </si>
  <si>
    <t xml:space="preserve">Cloud ERP (Azure)</t>
  </si>
  <si>
    <t xml:space="preserve">Misconfigured access controls exposing financial/customer data</t>
  </si>
  <si>
    <t xml:space="preserve">Shared admin accounts; no periodic access review</t>
  </si>
  <si>
    <t xml:space="preserve">Azure default RBAC (not reviewed)</t>
  </si>
  <si>
    <t xml:space="preserve">Implement least-privilege RBAC; enforce MFA on all admin accounts; quarterly access recertification</t>
  </si>
  <si>
    <t xml:space="preserve">2026-10-01</t>
  </si>
  <si>
    <t xml:space="preserve">R-005</t>
  </si>
  <si>
    <t xml:space="preserve">End-user devices</t>
  </si>
  <si>
    <t xml:space="preserve">Loss or theft of laptop containing customer shipment data</t>
  </si>
  <si>
    <t xml:space="preserve">No full-disk encryption enforced; no remote wipe capability</t>
  </si>
  <si>
    <t xml:space="preserve">Password login only</t>
  </si>
  <si>
    <t xml:space="preserve">Enforce BitLocker full-disk encryption fleet-wide; enable MDM remote wipe</t>
  </si>
  <si>
    <t xml:space="preserve">2026-09-30</t>
  </si>
  <si>
    <t xml:space="preserve">R-006</t>
  </si>
  <si>
    <t xml:space="preserve">Insider misuse of WMS access to divert or falsify shipments</t>
  </si>
  <si>
    <t xml:space="preserve">No segregation of duties between order entry and dispatch approval</t>
  </si>
  <si>
    <t xml:space="preserve">Manual supervisor spot-checks</t>
  </si>
  <si>
    <t xml:space="preserve">Implement segregation of duties in WMS workflow; enable audit logging with monthly review</t>
  </si>
  <si>
    <t xml:space="preserve">2026-12-01</t>
  </si>
  <si>
    <t xml:space="preserve">R-007</t>
  </si>
  <si>
    <t xml:space="preserve">DDoS attack disrupting order processing availability</t>
  </si>
  <si>
    <t xml:space="preserve">No DDoS protection tier enabled on Azure resources</t>
  </si>
  <si>
    <t xml:space="preserve">Default Azure network security groups</t>
  </si>
  <si>
    <t xml:space="preserve">Transfer</t>
  </si>
  <si>
    <t xml:space="preserve">Enable Azure DDoS Protection Standard (shifts residual risk to cloud provider's mitigation SLA)</t>
  </si>
  <si>
    <t xml:space="preserve">R-008</t>
  </si>
  <si>
    <t xml:space="preserve">Customs broker API interface</t>
  </si>
  <si>
    <t xml:space="preserve">Compromise of third-party API leading to shipment data leakage</t>
  </si>
  <si>
    <t xml:space="preserve">API keys not rotated; no request rate limiting</t>
  </si>
  <si>
    <t xml:space="preserve">TLS in transit only</t>
  </si>
  <si>
    <t xml:space="preserve">Rotate API keys quarterly; implement rate limiting and request logging on the interface</t>
  </si>
  <si>
    <t xml:space="preserve">2026-12-15</t>
  </si>
  <si>
    <t xml:space="preserve">R-009</t>
  </si>
  <si>
    <t xml:space="preserve">Backup infrastructure</t>
  </si>
  <si>
    <t xml:space="preserve">Backup failure or corruption after a ransomware event</t>
  </si>
  <si>
    <t xml:space="preserve">Backups stored on same network segment as production; restores untested</t>
  </si>
  <si>
    <t xml:space="preserve">Nightly automated backup job</t>
  </si>
  <si>
    <t xml:space="preserve">Implement offline/immutable backup copy (3-2-1 strategy); quarterly restore testing</t>
  </si>
  <si>
    <t xml:space="preserve">2026-10-30</t>
  </si>
  <si>
    <t xml:space="preserve">R-010</t>
  </si>
  <si>
    <t xml:space="preserve">HQ network — admin accounts</t>
  </si>
  <si>
    <t xml:space="preserve">Brute-force compromise of admin accounts due to weak password policy</t>
  </si>
  <si>
    <t xml:space="preserve">Minimum 8-character password policy; no account lockout threshold</t>
  </si>
  <si>
    <t xml:space="preserve">Basic Active Directory password policy</t>
  </si>
  <si>
    <t xml:space="preserve">Enforce 14-character minimum with complexity; enable account lockout after 5 attempts; deploy MFA</t>
  </si>
  <si>
    <t xml:space="preserve">2026-09-15</t>
  </si>
  <si>
    <t xml:space="preserve">R-011</t>
  </si>
  <si>
    <t xml:space="preserve">Remote access VPN</t>
  </si>
  <si>
    <t xml:space="preserve">Unauthorized remote access due to lack of MFA on VPN</t>
  </si>
  <si>
    <t xml:space="preserve">Single-factor VPN authentication (password only)</t>
  </si>
  <si>
    <t xml:space="preserve">VPN with password authentication</t>
  </si>
  <si>
    <t xml:space="preserve">Enforce MFA on all VPN connections; review VPN access logs monthly</t>
  </si>
  <si>
    <t xml:space="preserve">2026-09-01</t>
  </si>
  <si>
    <t xml:space="preserve">R-012</t>
  </si>
  <si>
    <t xml:space="preserve">GPS spoofing or tampering affecting delivery route integrity</t>
  </si>
  <si>
    <t xml:space="preserve">No anomaly detection on route deviation; sensor data not cross-validated</t>
  </si>
  <si>
    <t xml:space="preserve">Manual dispatcher review of routes</t>
  </si>
  <si>
    <t xml:space="preserve">Accept</t>
  </si>
  <si>
    <t xml:space="preserve">Risk accepted at current exposure; monitor vendor roadmap for anomaly detection features</t>
  </si>
  <si>
    <t xml:space="preserve">2027-03-01</t>
  </si>
  <si>
    <t xml:space="preserve">Risk Assessment Methodology — GRC Analyst Notes</t>
  </si>
  <si>
    <t xml:space="preserve">Why quantitative risk assessment (SLE x ARO), not just High/Medium/Low</t>
  </si>
  <si>
    <t xml:space="preserve">A purely qualitative 'High/Medium/Low' rating is fast but hard to defend to management — it doesn't translate to budget decisions. SLE x ARO gives every risk a defensible annual euro figure (ALE), so treatment decisions can be compared against control cost directly: if a control costs more per year than the ALE it reduces, it's hard to justify. This is the same logic examiners and auditors expect to see behind a risk register, not just color-coded guesses.</t>
  </si>
  <si>
    <t xml:space="preserve">SLE = Asset Value x Exposure Factor</t>
  </si>
  <si>
    <t xml:space="preserve">Single Loss Expectancy is the expected cost of ONE occurrence of the risk. Asset Value should reflect realistic financial and reputational impact, not just hardware replacement cost — for example, WMS downtime costs more in lost fulfillment revenue than the server itself is worth. Exposure Factor is rarely 100%: a ransomware event on a segmented, well-backed-up system might only realistically destroy 30-50% of value, because recovery is possible.</t>
  </si>
  <si>
    <t xml:space="preserve">ALE = SLE x ARO — this is the number that matters</t>
  </si>
  <si>
    <t xml:space="preserve">Annualized Loss Expectancy converts a one-time loss into an annual figure by factoring in how often the event is expected. A catastrophic event that happens once every 20 years (ARO = 0.05) may have a lower ALE than a frequent, low-impact event — and therefore a lower budget priority, even though it 'feels' scarier. This is why ALE, not SLE alone, should drive treatment prioritization and risk appetite discussions.</t>
  </si>
  <si>
    <t xml:space="preserve">Risk rating thresholds used in this register</t>
  </si>
  <si>
    <t xml:space="preserve">Low: ALE under €5,000 — typically accepted or handled through routine operational controls.
Medium: ALE €5,000-€19,999 — mitigated within normal budget cycles.
High: ALE €20,000-€49,999 — requires documented treatment plan and management visibility.
Critical: ALE €50,000+ — requires immediate treatment and senior management/board attention.
These thresholds are illustrative for this portfolio project — in practice they should be set by management based on the organization's actual risk appetite.</t>
  </si>
  <si>
    <t xml:space="preserve">The four risk treatment options (ISO/IEC 27001:2022 Clause 6.1.3)</t>
  </si>
  <si>
    <t xml:space="preserve">Mitigate: reduce likelihood or impact by implementing a control (the most common treatment — most rows in this register).
Transfer: shift financial impact to a third party, e.g. cyber insurance or a cloud provider's SLA (see R-007, DDoS protection).
Accept: consciously accept the risk when treatment cost exceeds benefit, always with documented justification and an owner (see R-012).
Avoid: eliminate the risk entirely by discontinuing the activity that causes it — not used in this register, but relevant when a legacy system or process carries risk disproportionate to its business value.</t>
  </si>
  <si>
    <t xml:space="preserve">Why residual risk matters as much as inherent risk</t>
  </si>
  <si>
    <t xml:space="preserve">Inherent risk (columns F-K) shows exposure before any new controls are applied. Residual risk (columns N-R) shows exposure AFTER the recommended control is implemented. An auditor — or an interviewer — will specifically ask whether residual risk was calculated and whether it was reduced to an acceptable level, not just whether a control was recommended. A register that only shows inherent risk is incomplete.</t>
  </si>
  <si>
    <t xml:space="preserve">Where this feeds into Phase 3 (Statement of Applicability)</t>
  </si>
  <si>
    <t xml:space="preserve">Every 'Mitigate' treatment above should map to one or more Annex A controls in the SoA — the SoA's justification column should reference the specific risk ID it addresses (e.g. 'Applicable — mitigates R-004, R-010, R-011'). This traceability from risk to control is exactly what auditors check first, and it's the single clearest way to demonstrate risk-based thinking rather than template-copying in an interview.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</si>
</sst>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85041"/>
      <name val="Calibri"/>
      <family val="0"/>
      <charset val="1"/>
    </font>
    <font>
      <i val="true"/>
      <sz val="10"/>
      <color rgb="FF5F5E5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name val="Arial"/>
      <family val="2"/>
    </font>
    <font>
      <b val="true"/>
      <sz val="11"/>
      <color rgb="FF08504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7F7F5"/>
        <bgColor rgb="FFEEF3F0"/>
      </patternFill>
    </fill>
    <fill>
      <patternFill patternType="solid">
        <fgColor rgb="FFEEF3F0"/>
        <bgColor rgb="FFF7F7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08080"/>
      <rgbColor rgb="FF9999FF"/>
      <rgbColor rgb="FF993366"/>
      <rgbColor rgb="FFF7F7F5"/>
      <rgbColor rgb="FFEEF3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850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4" min="3" style="0" width="2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6"/>
    <col collapsed="false" customWidth="true" hidden="false" outlineLevel="0" max="20" min="20" style="0" width="12"/>
    <col collapsed="false" customWidth="true" hidden="false" outlineLevel="0" max="21" min="21" style="0" width="13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46.25" hidden="false" customHeight="false" outlineLevel="0" collapsed="false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5" t="n">
        <v>40000</v>
      </c>
      <c r="G5" s="6" t="n">
        <v>0.5</v>
      </c>
      <c r="H5" s="5" t="n">
        <f aca="false">F5*G5</f>
        <v>20000</v>
      </c>
      <c r="I5" s="4" t="n">
        <v>3</v>
      </c>
      <c r="J5" s="5" t="n">
        <f aca="false">H5*I5</f>
        <v>60000</v>
      </c>
      <c r="K5" s="4" t="str">
        <f aca="false">IF(J5&lt;5000,"Low",IF(J5&lt;20000,"Medium",IF(J5&lt;50000,"High","Critical")))</f>
        <v>Critical</v>
      </c>
      <c r="L5" s="4" t="s">
        <v>28</v>
      </c>
      <c r="M5" s="4" t="s">
        <v>29</v>
      </c>
      <c r="N5" s="6" t="n">
        <v>0.2</v>
      </c>
      <c r="O5" s="5" t="n">
        <f aca="false">F5*N5</f>
        <v>8000</v>
      </c>
      <c r="P5" s="4" t="n">
        <v>1</v>
      </c>
      <c r="Q5" s="5" t="n">
        <f aca="false">O5*P5</f>
        <v>8000</v>
      </c>
      <c r="R5" s="4" t="str">
        <f aca="false">IF(Q5&lt;5000,"Low",IF(Q5&lt;20000,"Medium",IF(Q5&lt;50000,"High","Critical")))</f>
        <v>Medium</v>
      </c>
      <c r="S5" s="4" t="s">
        <v>30</v>
      </c>
      <c r="T5" s="4" t="s">
        <v>31</v>
      </c>
      <c r="U5" s="4" t="s">
        <v>32</v>
      </c>
    </row>
    <row r="6" customFormat="false" ht="35.05" hidden="false" customHeight="false" outlineLevel="0" collapsed="false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8" t="n">
        <v>120000</v>
      </c>
      <c r="G6" s="9" t="n">
        <v>0.7</v>
      </c>
      <c r="H6" s="8" t="n">
        <f aca="false">F6*G6</f>
        <v>84000</v>
      </c>
      <c r="I6" s="7" t="n">
        <v>0.5</v>
      </c>
      <c r="J6" s="8" t="n">
        <f aca="false">H6*I6</f>
        <v>42000</v>
      </c>
      <c r="K6" s="7" t="str">
        <f aca="false">IF(J6&lt;5000,"Low",IF(J6&lt;20000,"Medium",IF(J6&lt;50000,"High","Critical")))</f>
        <v>High</v>
      </c>
      <c r="L6" s="7" t="s">
        <v>28</v>
      </c>
      <c r="M6" s="7" t="s">
        <v>38</v>
      </c>
      <c r="N6" s="9" t="n">
        <v>0.3</v>
      </c>
      <c r="O6" s="8" t="n">
        <f aca="false">F6*N6</f>
        <v>36000</v>
      </c>
      <c r="P6" s="7" t="n">
        <v>0.2</v>
      </c>
      <c r="Q6" s="8" t="n">
        <f aca="false">O6*P6</f>
        <v>7200</v>
      </c>
      <c r="R6" s="7" t="str">
        <f aca="false">IF(Q6&lt;5000,"Low",IF(Q6&lt;20000,"Medium",IF(Q6&lt;50000,"High","Critical")))</f>
        <v>Medium</v>
      </c>
      <c r="S6" s="7" t="s">
        <v>39</v>
      </c>
      <c r="T6" s="7" t="s">
        <v>31</v>
      </c>
      <c r="U6" s="7" t="s">
        <v>40</v>
      </c>
    </row>
    <row r="7" customFormat="false" ht="46.25" hidden="false" customHeight="false" outlineLevel="0" collapsed="false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5" t="n">
        <v>60000</v>
      </c>
      <c r="G7" s="6" t="n">
        <v>0.5</v>
      </c>
      <c r="H7" s="5" t="n">
        <f aca="false">F7*G7</f>
        <v>30000</v>
      </c>
      <c r="I7" s="4" t="n">
        <v>1</v>
      </c>
      <c r="J7" s="5" t="n">
        <f aca="false">H7*I7</f>
        <v>30000</v>
      </c>
      <c r="K7" s="4" t="str">
        <f aca="false">IF(J7&lt;5000,"Low",IF(J7&lt;20000,"Medium",IF(J7&lt;50000,"High","Critical")))</f>
        <v>High</v>
      </c>
      <c r="L7" s="4" t="s">
        <v>28</v>
      </c>
      <c r="M7" s="4" t="s">
        <v>46</v>
      </c>
      <c r="N7" s="6" t="n">
        <v>0.25</v>
      </c>
      <c r="O7" s="5" t="n">
        <f aca="false">F7*N7</f>
        <v>15000</v>
      </c>
      <c r="P7" s="4" t="n">
        <v>0.5</v>
      </c>
      <c r="Q7" s="5" t="n">
        <f aca="false">O7*P7</f>
        <v>7500</v>
      </c>
      <c r="R7" s="4" t="str">
        <f aca="false">IF(Q7&lt;5000,"Low",IF(Q7&lt;20000,"Medium",IF(Q7&lt;50000,"High","Critical")))</f>
        <v>Medium</v>
      </c>
      <c r="S7" s="4" t="s">
        <v>47</v>
      </c>
      <c r="T7" s="4" t="s">
        <v>31</v>
      </c>
      <c r="U7" s="4" t="s">
        <v>48</v>
      </c>
    </row>
    <row r="8" customFormat="false" ht="35.05" hidden="false" customHeight="false" outlineLevel="0" collapsed="false">
      <c r="A8" s="7" t="s">
        <v>49</v>
      </c>
      <c r="B8" s="7" t="s">
        <v>50</v>
      </c>
      <c r="C8" s="7" t="s">
        <v>51</v>
      </c>
      <c r="D8" s="7" t="s">
        <v>52</v>
      </c>
      <c r="E8" s="7" t="s">
        <v>53</v>
      </c>
      <c r="F8" s="8" t="n">
        <v>90000</v>
      </c>
      <c r="G8" s="9" t="n">
        <v>0.6</v>
      </c>
      <c r="H8" s="8" t="n">
        <f aca="false">F8*G8</f>
        <v>54000</v>
      </c>
      <c r="I8" s="7" t="n">
        <v>1</v>
      </c>
      <c r="J8" s="8" t="n">
        <f aca="false">H8*I8</f>
        <v>54000</v>
      </c>
      <c r="K8" s="7" t="str">
        <f aca="false">IF(J8&lt;5000,"Low",IF(J8&lt;20000,"Medium",IF(J8&lt;50000,"High","Critical")))</f>
        <v>Critical</v>
      </c>
      <c r="L8" s="7" t="s">
        <v>28</v>
      </c>
      <c r="M8" s="7" t="s">
        <v>54</v>
      </c>
      <c r="N8" s="9" t="n">
        <v>0.2</v>
      </c>
      <c r="O8" s="8" t="n">
        <f aca="false">F8*N8</f>
        <v>18000</v>
      </c>
      <c r="P8" s="7" t="n">
        <v>0.3</v>
      </c>
      <c r="Q8" s="8" t="n">
        <f aca="false">O8*P8</f>
        <v>5400</v>
      </c>
      <c r="R8" s="7" t="str">
        <f aca="false">IF(Q8&lt;5000,"Low",IF(Q8&lt;20000,"Medium",IF(Q8&lt;50000,"High","Critical")))</f>
        <v>Medium</v>
      </c>
      <c r="S8" s="7" t="s">
        <v>30</v>
      </c>
      <c r="T8" s="7" t="s">
        <v>31</v>
      </c>
      <c r="U8" s="7" t="s">
        <v>55</v>
      </c>
    </row>
    <row r="9" customFormat="false" ht="35.05" hidden="false" customHeight="false" outlineLevel="0" collapsed="false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5" t="n">
        <v>15000</v>
      </c>
      <c r="G9" s="6" t="n">
        <v>0.8</v>
      </c>
      <c r="H9" s="5" t="n">
        <f aca="false">F9*G9</f>
        <v>12000</v>
      </c>
      <c r="I9" s="4" t="n">
        <v>2</v>
      </c>
      <c r="J9" s="5" t="n">
        <f aca="false">H9*I9</f>
        <v>24000</v>
      </c>
      <c r="K9" s="4" t="str">
        <f aca="false">IF(J9&lt;5000,"Low",IF(J9&lt;20000,"Medium",IF(J9&lt;50000,"High","Critical")))</f>
        <v>High</v>
      </c>
      <c r="L9" s="4" t="s">
        <v>28</v>
      </c>
      <c r="M9" s="4" t="s">
        <v>61</v>
      </c>
      <c r="N9" s="6" t="n">
        <v>0.1</v>
      </c>
      <c r="O9" s="5" t="n">
        <f aca="false">F9*N9</f>
        <v>1500</v>
      </c>
      <c r="P9" s="4" t="n">
        <v>2</v>
      </c>
      <c r="Q9" s="5" t="n">
        <f aca="false">O9*P9</f>
        <v>3000</v>
      </c>
      <c r="R9" s="4" t="str">
        <f aca="false">IF(Q9&lt;5000,"Low",IF(Q9&lt;20000,"Medium",IF(Q9&lt;50000,"High","Critical")))</f>
        <v>Low</v>
      </c>
      <c r="S9" s="4" t="s">
        <v>30</v>
      </c>
      <c r="T9" s="4" t="s">
        <v>31</v>
      </c>
      <c r="U9" s="4" t="s">
        <v>62</v>
      </c>
    </row>
    <row r="10" customFormat="false" ht="35.05" hidden="false" customHeight="false" outlineLevel="0" collapsed="false">
      <c r="A10" s="7" t="s">
        <v>63</v>
      </c>
      <c r="B10" s="7" t="s">
        <v>34</v>
      </c>
      <c r="C10" s="7" t="s">
        <v>64</v>
      </c>
      <c r="D10" s="7" t="s">
        <v>65</v>
      </c>
      <c r="E10" s="7" t="s">
        <v>66</v>
      </c>
      <c r="F10" s="8" t="n">
        <v>50000</v>
      </c>
      <c r="G10" s="9" t="n">
        <v>0.4</v>
      </c>
      <c r="H10" s="8" t="n">
        <f aca="false">F10*G10</f>
        <v>20000</v>
      </c>
      <c r="I10" s="7" t="n">
        <v>0.5</v>
      </c>
      <c r="J10" s="8" t="n">
        <f aca="false">H10*I10</f>
        <v>10000</v>
      </c>
      <c r="K10" s="7" t="str">
        <f aca="false">IF(J10&lt;5000,"Low",IF(J10&lt;20000,"Medium",IF(J10&lt;50000,"High","Critical")))</f>
        <v>Medium</v>
      </c>
      <c r="L10" s="7" t="s">
        <v>28</v>
      </c>
      <c r="M10" s="7" t="s">
        <v>67</v>
      </c>
      <c r="N10" s="9" t="n">
        <v>0.2</v>
      </c>
      <c r="O10" s="8" t="n">
        <f aca="false">F10*N10</f>
        <v>10000</v>
      </c>
      <c r="P10" s="7" t="n">
        <v>0.3</v>
      </c>
      <c r="Q10" s="8" t="n">
        <f aca="false">O10*P10</f>
        <v>3000</v>
      </c>
      <c r="R10" s="7" t="str">
        <f aca="false">IF(Q10&lt;5000,"Low",IF(Q10&lt;20000,"Medium",IF(Q10&lt;50000,"High","Critical")))</f>
        <v>Low</v>
      </c>
      <c r="S10" s="7" t="s">
        <v>39</v>
      </c>
      <c r="T10" s="7" t="s">
        <v>31</v>
      </c>
      <c r="U10" s="7" t="s">
        <v>68</v>
      </c>
    </row>
    <row r="11" customFormat="false" ht="35.05" hidden="false" customHeight="false" outlineLevel="0" collapsed="false">
      <c r="A11" s="4" t="s">
        <v>69</v>
      </c>
      <c r="B11" s="4" t="s">
        <v>50</v>
      </c>
      <c r="C11" s="4" t="s">
        <v>70</v>
      </c>
      <c r="D11" s="4" t="s">
        <v>71</v>
      </c>
      <c r="E11" s="4" t="s">
        <v>72</v>
      </c>
      <c r="F11" s="5" t="n">
        <v>70000</v>
      </c>
      <c r="G11" s="6" t="n">
        <v>0.3</v>
      </c>
      <c r="H11" s="5" t="n">
        <f aca="false">F11*G11</f>
        <v>21000</v>
      </c>
      <c r="I11" s="4" t="n">
        <v>0.5</v>
      </c>
      <c r="J11" s="5" t="n">
        <f aca="false">H11*I11</f>
        <v>10500</v>
      </c>
      <c r="K11" s="4" t="str">
        <f aca="false">IF(J11&lt;5000,"Low",IF(J11&lt;20000,"Medium",IF(J11&lt;50000,"High","Critical")))</f>
        <v>Medium</v>
      </c>
      <c r="L11" s="4" t="s">
        <v>73</v>
      </c>
      <c r="M11" s="4" t="s">
        <v>74</v>
      </c>
      <c r="N11" s="6" t="n">
        <v>0.15</v>
      </c>
      <c r="O11" s="5" t="n">
        <f aca="false">F11*N11</f>
        <v>10500</v>
      </c>
      <c r="P11" s="4" t="n">
        <v>0.3</v>
      </c>
      <c r="Q11" s="5" t="n">
        <f aca="false">O11*P11</f>
        <v>3150</v>
      </c>
      <c r="R11" s="4" t="str">
        <f aca="false">IF(Q11&lt;5000,"Low",IF(Q11&lt;20000,"Medium",IF(Q11&lt;50000,"High","Critical")))</f>
        <v>Low</v>
      </c>
      <c r="S11" s="4" t="s">
        <v>30</v>
      </c>
      <c r="T11" s="4" t="s">
        <v>31</v>
      </c>
      <c r="U11" s="4" t="s">
        <v>32</v>
      </c>
    </row>
    <row r="12" customFormat="false" ht="35.05" hidden="false" customHeight="false" outlineLevel="0" collapsed="false">
      <c r="A12" s="7" t="s">
        <v>75</v>
      </c>
      <c r="B12" s="7" t="s">
        <v>76</v>
      </c>
      <c r="C12" s="7" t="s">
        <v>77</v>
      </c>
      <c r="D12" s="7" t="s">
        <v>78</v>
      </c>
      <c r="E12" s="7" t="s">
        <v>79</v>
      </c>
      <c r="F12" s="8" t="n">
        <v>35000</v>
      </c>
      <c r="G12" s="9" t="n">
        <v>0.6</v>
      </c>
      <c r="H12" s="8" t="n">
        <f aca="false">F12*G12</f>
        <v>21000</v>
      </c>
      <c r="I12" s="7" t="n">
        <v>1</v>
      </c>
      <c r="J12" s="8" t="n">
        <f aca="false">H12*I12</f>
        <v>21000</v>
      </c>
      <c r="K12" s="7" t="str">
        <f aca="false">IF(J12&lt;5000,"Low",IF(J12&lt;20000,"Medium",IF(J12&lt;50000,"High","Critical")))</f>
        <v>High</v>
      </c>
      <c r="L12" s="7" t="s">
        <v>28</v>
      </c>
      <c r="M12" s="7" t="s">
        <v>80</v>
      </c>
      <c r="N12" s="9" t="n">
        <v>0.25</v>
      </c>
      <c r="O12" s="8" t="n">
        <f aca="false">F12*N12</f>
        <v>8750</v>
      </c>
      <c r="P12" s="7" t="n">
        <v>0.5</v>
      </c>
      <c r="Q12" s="8" t="n">
        <f aca="false">O12*P12</f>
        <v>4375</v>
      </c>
      <c r="R12" s="7" t="str">
        <f aca="false">IF(Q12&lt;5000,"Low",IF(Q12&lt;20000,"Medium",IF(Q12&lt;50000,"High","Critical")))</f>
        <v>Low</v>
      </c>
      <c r="S12" s="7" t="s">
        <v>30</v>
      </c>
      <c r="T12" s="7" t="s">
        <v>31</v>
      </c>
      <c r="U12" s="7" t="s">
        <v>81</v>
      </c>
    </row>
    <row r="13" customFormat="false" ht="35.05" hidden="false" customHeight="false" outlineLevel="0" collapsed="false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5" t="n">
        <v>120000</v>
      </c>
      <c r="G13" s="6" t="n">
        <v>0.5</v>
      </c>
      <c r="H13" s="5" t="n">
        <f aca="false">F13*G13</f>
        <v>60000</v>
      </c>
      <c r="I13" s="4" t="n">
        <v>0.5</v>
      </c>
      <c r="J13" s="5" t="n">
        <f aca="false">H13*I13</f>
        <v>30000</v>
      </c>
      <c r="K13" s="4" t="str">
        <f aca="false">IF(J13&lt;5000,"Low",IF(J13&lt;20000,"Medium",IF(J13&lt;50000,"High","Critical")))</f>
        <v>High</v>
      </c>
      <c r="L13" s="4" t="s">
        <v>28</v>
      </c>
      <c r="M13" s="4" t="s">
        <v>87</v>
      </c>
      <c r="N13" s="6" t="n">
        <v>0.15</v>
      </c>
      <c r="O13" s="5" t="n">
        <f aca="false">F13*N13</f>
        <v>18000</v>
      </c>
      <c r="P13" s="4" t="n">
        <v>0.2</v>
      </c>
      <c r="Q13" s="5" t="n">
        <f aca="false">O13*P13</f>
        <v>3600</v>
      </c>
      <c r="R13" s="4" t="str">
        <f aca="false">IF(Q13&lt;5000,"Low",IF(Q13&lt;20000,"Medium",IF(Q13&lt;50000,"High","Critical")))</f>
        <v>Low</v>
      </c>
      <c r="S13" s="4" t="s">
        <v>30</v>
      </c>
      <c r="T13" s="4" t="s">
        <v>31</v>
      </c>
      <c r="U13" s="4" t="s">
        <v>88</v>
      </c>
    </row>
    <row r="14" customFormat="false" ht="35.05" hidden="false" customHeight="false" outlineLevel="0" collapsed="false">
      <c r="A14" s="7" t="s">
        <v>89</v>
      </c>
      <c r="B14" s="7" t="s">
        <v>90</v>
      </c>
      <c r="C14" s="7" t="s">
        <v>91</v>
      </c>
      <c r="D14" s="7" t="s">
        <v>92</v>
      </c>
      <c r="E14" s="7" t="s">
        <v>93</v>
      </c>
      <c r="F14" s="8" t="n">
        <v>45000</v>
      </c>
      <c r="G14" s="9" t="n">
        <v>0.5</v>
      </c>
      <c r="H14" s="8" t="n">
        <f aca="false">F14*G14</f>
        <v>22500</v>
      </c>
      <c r="I14" s="7" t="n">
        <v>1.5</v>
      </c>
      <c r="J14" s="8" t="n">
        <f aca="false">H14*I14</f>
        <v>33750</v>
      </c>
      <c r="K14" s="7" t="str">
        <f aca="false">IF(J14&lt;5000,"Low",IF(J14&lt;20000,"Medium",IF(J14&lt;50000,"High","Critical")))</f>
        <v>High</v>
      </c>
      <c r="L14" s="7" t="s">
        <v>28</v>
      </c>
      <c r="M14" s="7" t="s">
        <v>94</v>
      </c>
      <c r="N14" s="9" t="n">
        <v>0.15</v>
      </c>
      <c r="O14" s="8" t="n">
        <f aca="false">F14*N14</f>
        <v>6750</v>
      </c>
      <c r="P14" s="7" t="n">
        <v>0.3</v>
      </c>
      <c r="Q14" s="8" t="n">
        <f aca="false">O14*P14</f>
        <v>2025</v>
      </c>
      <c r="R14" s="7" t="str">
        <f aca="false">IF(Q14&lt;5000,"Low",IF(Q14&lt;20000,"Medium",IF(Q14&lt;50000,"High","Critical")))</f>
        <v>Low</v>
      </c>
      <c r="S14" s="7" t="s">
        <v>30</v>
      </c>
      <c r="T14" s="7" t="s">
        <v>31</v>
      </c>
      <c r="U14" s="7" t="s">
        <v>95</v>
      </c>
    </row>
    <row r="15" customFormat="false" ht="23.85" hidden="false" customHeight="false" outlineLevel="0" collapsed="false">
      <c r="A15" s="4" t="s">
        <v>96</v>
      </c>
      <c r="B15" s="4" t="s">
        <v>97</v>
      </c>
      <c r="C15" s="4" t="s">
        <v>98</v>
      </c>
      <c r="D15" s="4" t="s">
        <v>99</v>
      </c>
      <c r="E15" s="4" t="s">
        <v>100</v>
      </c>
      <c r="F15" s="5" t="n">
        <v>55000</v>
      </c>
      <c r="G15" s="6" t="n">
        <v>0.5</v>
      </c>
      <c r="H15" s="5" t="n">
        <f aca="false">F15*G15</f>
        <v>27500</v>
      </c>
      <c r="I15" s="4" t="n">
        <v>1</v>
      </c>
      <c r="J15" s="5" t="n">
        <f aca="false">H15*I15</f>
        <v>27500</v>
      </c>
      <c r="K15" s="4" t="str">
        <f aca="false">IF(J15&lt;5000,"Low",IF(J15&lt;20000,"Medium",IF(J15&lt;50000,"High","Critical")))</f>
        <v>High</v>
      </c>
      <c r="L15" s="4" t="s">
        <v>28</v>
      </c>
      <c r="M15" s="4" t="s">
        <v>101</v>
      </c>
      <c r="N15" s="6" t="n">
        <v>0.15</v>
      </c>
      <c r="O15" s="5" t="n">
        <f aca="false">F15*N15</f>
        <v>8250</v>
      </c>
      <c r="P15" s="4" t="n">
        <v>0.3</v>
      </c>
      <c r="Q15" s="5" t="n">
        <f aca="false">O15*P15</f>
        <v>2475</v>
      </c>
      <c r="R15" s="4" t="str">
        <f aca="false">IF(Q15&lt;5000,"Low",IF(Q15&lt;20000,"Medium",IF(Q15&lt;50000,"High","Critical")))</f>
        <v>Low</v>
      </c>
      <c r="S15" s="4" t="s">
        <v>30</v>
      </c>
      <c r="T15" s="4" t="s">
        <v>31</v>
      </c>
      <c r="U15" s="4" t="s">
        <v>102</v>
      </c>
    </row>
    <row r="16" customFormat="false" ht="35.05" hidden="false" customHeight="false" outlineLevel="0" collapsed="false">
      <c r="A16" s="7" t="s">
        <v>103</v>
      </c>
      <c r="B16" s="7" t="s">
        <v>42</v>
      </c>
      <c r="C16" s="7" t="s">
        <v>104</v>
      </c>
      <c r="D16" s="7" t="s">
        <v>105</v>
      </c>
      <c r="E16" s="7" t="s">
        <v>106</v>
      </c>
      <c r="F16" s="8" t="n">
        <v>25000</v>
      </c>
      <c r="G16" s="9" t="n">
        <v>0.4</v>
      </c>
      <c r="H16" s="8" t="n">
        <f aca="false">F16*G16</f>
        <v>10000</v>
      </c>
      <c r="I16" s="7" t="n">
        <v>0.5</v>
      </c>
      <c r="J16" s="8" t="n">
        <f aca="false">H16*I16</f>
        <v>5000</v>
      </c>
      <c r="K16" s="7" t="str">
        <f aca="false">IF(J16&lt;5000,"Low",IF(J16&lt;20000,"Medium",IF(J16&lt;50000,"High","Critical")))</f>
        <v>Medium</v>
      </c>
      <c r="L16" s="7" t="s">
        <v>107</v>
      </c>
      <c r="M16" s="7" t="s">
        <v>108</v>
      </c>
      <c r="N16" s="9" t="n">
        <v>0.4</v>
      </c>
      <c r="O16" s="8" t="n">
        <f aca="false">F16*N16</f>
        <v>10000</v>
      </c>
      <c r="P16" s="7" t="n">
        <v>0.5</v>
      </c>
      <c r="Q16" s="8" t="n">
        <f aca="false">O16*P16</f>
        <v>5000</v>
      </c>
      <c r="R16" s="7" t="str">
        <f aca="false">IF(Q16&lt;5000,"Low",IF(Q16&lt;20000,"Medium",IF(Q16&lt;50000,"High","Critical")))</f>
        <v>Medium</v>
      </c>
      <c r="S16" s="7" t="s">
        <v>47</v>
      </c>
      <c r="T16" s="7" t="s">
        <v>31</v>
      </c>
      <c r="U16" s="7" t="s">
        <v>109</v>
      </c>
    </row>
  </sheetData>
  <mergeCells count="2">
    <mergeCell ref="A1:G1"/>
    <mergeCell ref="A2:U2"/>
  </mergeCells>
  <dataValidations count="2">
    <dataValidation allowBlank="false" errorStyle="stop" operator="between" showDropDown="false" showErrorMessage="false" showInputMessage="false" sqref="L5:L16" type="list">
      <formula1>"Mitigate,Transfer,Accept,Avoid"</formula1>
      <formula2>0</formula2>
    </dataValidation>
    <dataValidation allowBlank="false" errorStyle="stop" operator="between" showDropDown="false" showErrorMessage="false" showInputMessage="false" sqref="T5:T16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9.7" hidden="false" customHeight="false" outlineLevel="0" collapsed="false">
      <c r="B1" s="1" t="s">
        <v>110</v>
      </c>
      <c r="C1" s="1"/>
    </row>
    <row r="3" customFormat="false" ht="15" hidden="false" customHeight="false" outlineLevel="0" collapsed="false">
      <c r="B3" s="10" t="s">
        <v>111</v>
      </c>
      <c r="C3" s="11"/>
    </row>
    <row r="4" customFormat="false" ht="60" hidden="false" customHeight="true" outlineLevel="0" collapsed="false">
      <c r="B4" s="12" t="s">
        <v>112</v>
      </c>
      <c r="C4" s="12"/>
    </row>
    <row r="6" customFormat="false" ht="15" hidden="false" customHeight="false" outlineLevel="0" collapsed="false">
      <c r="B6" s="10" t="s">
        <v>113</v>
      </c>
      <c r="C6" s="11"/>
    </row>
    <row r="7" customFormat="false" ht="60" hidden="false" customHeight="true" outlineLevel="0" collapsed="false">
      <c r="B7" s="12" t="s">
        <v>114</v>
      </c>
      <c r="C7" s="12"/>
    </row>
    <row r="9" customFormat="false" ht="15" hidden="false" customHeight="false" outlineLevel="0" collapsed="false">
      <c r="B9" s="10" t="s">
        <v>115</v>
      </c>
      <c r="C9" s="11"/>
    </row>
    <row r="10" customFormat="false" ht="60" hidden="false" customHeight="true" outlineLevel="0" collapsed="false">
      <c r="B10" s="12" t="s">
        <v>116</v>
      </c>
      <c r="C10" s="12"/>
    </row>
    <row r="12" customFormat="false" ht="15" hidden="false" customHeight="false" outlineLevel="0" collapsed="false">
      <c r="B12" s="10" t="s">
        <v>117</v>
      </c>
      <c r="C12" s="11"/>
    </row>
    <row r="13" customFormat="false" ht="60" hidden="false" customHeight="true" outlineLevel="0" collapsed="false">
      <c r="B13" s="12" t="s">
        <v>118</v>
      </c>
      <c r="C13" s="12"/>
    </row>
    <row r="15" customFormat="false" ht="15" hidden="false" customHeight="false" outlineLevel="0" collapsed="false">
      <c r="B15" s="10" t="s">
        <v>119</v>
      </c>
      <c r="C15" s="11"/>
    </row>
    <row r="16" customFormat="false" ht="60" hidden="false" customHeight="true" outlineLevel="0" collapsed="false">
      <c r="B16" s="12" t="s">
        <v>120</v>
      </c>
      <c r="C16" s="12"/>
    </row>
    <row r="18" customFormat="false" ht="15" hidden="false" customHeight="false" outlineLevel="0" collapsed="false">
      <c r="B18" s="10" t="s">
        <v>121</v>
      </c>
      <c r="C18" s="11"/>
    </row>
    <row r="19" customFormat="false" ht="60" hidden="false" customHeight="true" outlineLevel="0" collapsed="false">
      <c r="B19" s="12" t="s">
        <v>122</v>
      </c>
      <c r="C19" s="12"/>
    </row>
    <row r="21" customFormat="false" ht="15" hidden="false" customHeight="false" outlineLevel="0" collapsed="false">
      <c r="B21" s="10" t="s">
        <v>123</v>
      </c>
      <c r="C21" s="11"/>
    </row>
    <row r="22" customFormat="false" ht="60" hidden="false" customHeight="true" outlineLevel="0" collapsed="false">
      <c r="B22" s="12" t="s">
        <v>124</v>
      </c>
      <c r="C22" s="12"/>
    </row>
  </sheetData>
  <mergeCells count="8">
    <mergeCell ref="B1:C1"/>
    <mergeCell ref="B4:C4"/>
    <mergeCell ref="B7:C7"/>
    <mergeCell ref="B10:C10"/>
    <mergeCell ref="B13:C13"/>
    <mergeCell ref="B16:C16"/>
    <mergeCell ref="B19:C19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2026-08-16T23:57:31Z</dcterms:created>
  <dc:creator>openpyxl</dc:creator>
  <dc:description/>
  <dc:language>en-US</dc:language>
  <cp:lastModifiedBy/>
  <dcterms:modified xsi:type="dcterms:W3CDTF">2026-08-16T23:57:31Z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